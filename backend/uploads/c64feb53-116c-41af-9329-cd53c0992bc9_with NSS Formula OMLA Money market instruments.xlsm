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xl/drawings/drawing2.xml" ContentType="application/vnd.openxmlformats-officedocument.drawing+xml"/>
  <Override PartName="/xl/metadata.xml" ContentType="application/vnd.openxmlformats-officedocument.spreadsheetml.sheetMetadata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74160a06a50e212/Documents/DURA CAPITAL/DELOITTE TBs/JAN 2025 PROJECT/TINO OMLA/MONEY MARKETS FINAL/"/>
    </mc:Choice>
  </mc:AlternateContent>
  <xr:revisionPtr revIDLastSave="2" documentId="8_{D16BA259-DF5E-4FFF-84CF-E19670FD8D13}" xr6:coauthVersionLast="47" xr6:coauthVersionMax="47" xr10:uidLastSave="{0DE69537-E7E5-4D5D-B262-F931CC7E2565}"/>
  <bookViews>
    <workbookView xWindow="-108" yWindow="-108" windowWidth="23256" windowHeight="12456" tabRatio="591" activeTab="3" xr2:uid="{00000000-000D-0000-FFFF-FFFF00000000}"/>
  </bookViews>
  <sheets>
    <sheet name="Input Data" sheetId="22" r:id="rId1"/>
    <sheet name="NSS" sheetId="27" r:id="rId2"/>
    <sheet name="ZWG Money Market" sheetId="13" state="hidden" r:id="rId3"/>
    <sheet name="US$ Money Market" sheetId="11" r:id="rId4"/>
    <sheet name="Sheet1" sheetId="26" state="hidden" r:id="rId5"/>
    <sheet name="Bonds Input" sheetId="25" state="hidden" r:id="rId6"/>
  </sheets>
  <functionGroups builtInGroupCount="19"/>
  <definedNames>
    <definedName name="_xlnm._FilterDatabase" localSheetId="3" hidden="1">'US$ Money Market'!$B$10:$AA$97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11" l="1"/>
  <c r="W91" i="11"/>
  <c r="L7" i="11"/>
  <c r="D3" i="27" a="1"/>
  <c r="D3" i="27" l="1"/>
  <c r="P30" i="11"/>
  <c r="W11" i="11"/>
  <c r="V11" i="11"/>
  <c r="Z11" i="11"/>
  <c r="R11" i="11"/>
  <c r="Y11" i="11"/>
  <c r="X11" i="11"/>
  <c r="J16" i="11"/>
  <c r="O11" i="11" l="1"/>
  <c r="W12" i="11"/>
  <c r="W95" i="11"/>
  <c r="U95" i="11"/>
  <c r="K7" i="11"/>
  <c r="R95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6" i="11"/>
  <c r="E7" i="11"/>
  <c r="P77" i="11"/>
  <c r="D7" i="11"/>
  <c r="C7" i="11"/>
  <c r="P95" i="11"/>
  <c r="P93" i="11"/>
  <c r="P27" i="11"/>
  <c r="I27" i="11"/>
  <c r="P79" i="11"/>
  <c r="B4" i="27" l="1"/>
  <c r="B5" i="27"/>
  <c r="B6" i="27"/>
  <c r="B7" i="27"/>
  <c r="B8" i="27"/>
  <c r="B3" i="27"/>
  <c r="P55" i="11"/>
  <c r="P56" i="11"/>
  <c r="J56" i="11"/>
  <c r="K56" i="11" s="1"/>
  <c r="I56" i="11"/>
  <c r="O56" i="11" s="1"/>
  <c r="P90" i="11"/>
  <c r="P91" i="11"/>
  <c r="P92" i="11"/>
  <c r="P94" i="11"/>
  <c r="P89" i="11"/>
  <c r="P70" i="11"/>
  <c r="P71" i="11"/>
  <c r="P72" i="11"/>
  <c r="P73" i="11"/>
  <c r="P74" i="11"/>
  <c r="P75" i="11"/>
  <c r="P76" i="11"/>
  <c r="P78" i="11"/>
  <c r="P80" i="11"/>
  <c r="P81" i="11"/>
  <c r="P82" i="11"/>
  <c r="P83" i="11"/>
  <c r="P84" i="11"/>
  <c r="P85" i="11"/>
  <c r="P86" i="11"/>
  <c r="P87" i="11"/>
  <c r="P88" i="11"/>
  <c r="P69" i="11"/>
  <c r="P53" i="11"/>
  <c r="P54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52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35" i="11"/>
  <c r="P36" i="11"/>
  <c r="P37" i="11"/>
  <c r="P38" i="11"/>
  <c r="P34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8" i="11"/>
  <c r="P29" i="11"/>
  <c r="P31" i="11"/>
  <c r="P32" i="11"/>
  <c r="P33" i="11"/>
  <c r="P11" i="11"/>
  <c r="I50" i="11"/>
  <c r="J50" i="11"/>
  <c r="K50" i="11" s="1"/>
  <c r="I13" i="11"/>
  <c r="J13" i="11"/>
  <c r="K13" i="11" s="1"/>
  <c r="I85" i="11"/>
  <c r="J85" i="11"/>
  <c r="K85" i="11" s="1"/>
  <c r="I88" i="11"/>
  <c r="J88" i="11"/>
  <c r="K88" i="11" s="1"/>
  <c r="I81" i="11"/>
  <c r="J81" i="11"/>
  <c r="K81" i="11" s="1"/>
  <c r="I75" i="11"/>
  <c r="J75" i="11"/>
  <c r="K75" i="11" s="1"/>
  <c r="I65" i="11"/>
  <c r="O65" i="11" s="1"/>
  <c r="J65" i="11"/>
  <c r="K65" i="11" s="1"/>
  <c r="I40" i="11"/>
  <c r="J40" i="11"/>
  <c r="K40" i="11" s="1"/>
  <c r="I76" i="11"/>
  <c r="J76" i="11"/>
  <c r="K76" i="11" s="1"/>
  <c r="I66" i="11"/>
  <c r="O66" i="11" s="1"/>
  <c r="J66" i="11"/>
  <c r="K66" i="11" s="1"/>
  <c r="I41" i="11"/>
  <c r="O41" i="11" s="1"/>
  <c r="J41" i="11"/>
  <c r="K41" i="11" s="1"/>
  <c r="I77" i="11"/>
  <c r="J77" i="11"/>
  <c r="K77" i="11" s="1"/>
  <c r="I53" i="11"/>
  <c r="J53" i="11"/>
  <c r="K53" i="11" s="1"/>
  <c r="I67" i="11"/>
  <c r="J67" i="11"/>
  <c r="K67" i="11" s="1"/>
  <c r="I46" i="11"/>
  <c r="J46" i="11"/>
  <c r="K46" i="11" s="1"/>
  <c r="I25" i="11"/>
  <c r="J25" i="11"/>
  <c r="K25" i="11" s="1"/>
  <c r="I26" i="11"/>
  <c r="J26" i="11"/>
  <c r="K26" i="11" s="1"/>
  <c r="I68" i="11"/>
  <c r="O68" i="11" s="1"/>
  <c r="J68" i="11"/>
  <c r="K68" i="11" s="1"/>
  <c r="I20" i="11"/>
  <c r="J20" i="11"/>
  <c r="K20" i="11" s="1"/>
  <c r="I22" i="11"/>
  <c r="J22" i="11"/>
  <c r="K22" i="11" s="1"/>
  <c r="I15" i="11"/>
  <c r="J15" i="11"/>
  <c r="K15" i="11" s="1"/>
  <c r="I14" i="11"/>
  <c r="O14" i="11" s="1"/>
  <c r="J14" i="11"/>
  <c r="K14" i="11" s="1"/>
  <c r="I16" i="11"/>
  <c r="K16" i="11"/>
  <c r="I21" i="11"/>
  <c r="J21" i="11"/>
  <c r="K21" i="11" s="1"/>
  <c r="I28" i="11"/>
  <c r="J28" i="11"/>
  <c r="K28" i="11" s="1"/>
  <c r="I33" i="11"/>
  <c r="O33" i="11" s="1"/>
  <c r="J33" i="11"/>
  <c r="K33" i="11" s="1"/>
  <c r="O27" i="11"/>
  <c r="J27" i="11"/>
  <c r="K27" i="11" s="1"/>
  <c r="L3" i="22"/>
  <c r="L4" i="22"/>
  <c r="L5" i="22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2" i="22"/>
  <c r="K15" i="13"/>
  <c r="I13" i="13"/>
  <c r="I14" i="13"/>
  <c r="I15" i="13"/>
  <c r="I6" i="26"/>
  <c r="I7" i="26"/>
  <c r="I8" i="26"/>
  <c r="I9" i="26"/>
  <c r="I5" i="26"/>
  <c r="D4" i="27" a="1"/>
  <c r="D5" i="27" a="1"/>
  <c r="D6" i="27" a="1"/>
  <c r="D7" i="27" a="1"/>
  <c r="D8" i="27" a="1"/>
  <c r="T26" i="11" a="1"/>
  <c r="T50" i="11" a="1"/>
  <c r="T68" i="11" a="1"/>
  <c r="T67" i="11" a="1"/>
  <c r="T41" i="11" a="1"/>
  <c r="T77" i="11" a="1"/>
  <c r="T56" i="11" a="1"/>
  <c r="T15" i="11" a="1"/>
  <c r="T76" i="11" a="1"/>
  <c r="T28" i="11" a="1"/>
  <c r="T65" i="11" a="1"/>
  <c r="T20" i="11" a="1"/>
  <c r="T88" i="11" a="1"/>
  <c r="T66" i="11" a="1"/>
  <c r="T33" i="11" a="1"/>
  <c r="T40" i="11" a="1"/>
  <c r="T25" i="11" a="1"/>
  <c r="T22" i="11" a="1"/>
  <c r="T21" i="11" a="1"/>
  <c r="T85" i="11" a="1"/>
  <c r="T75" i="11" a="1"/>
  <c r="T13" i="11" a="1"/>
  <c r="T53" i="11" a="1"/>
  <c r="T16" i="11" a="1"/>
  <c r="T81" i="11" a="1"/>
  <c r="T14" i="11" a="1"/>
  <c r="T27" i="11" a="1"/>
  <c r="T46" i="11" a="1"/>
  <c r="G7" i="11" l="1"/>
  <c r="Q27" i="11"/>
  <c r="S27" i="11" s="1"/>
  <c r="T15" i="11"/>
  <c r="U15" i="11" s="1"/>
  <c r="T14" i="11"/>
  <c r="T16" i="11"/>
  <c r="U16" i="11" s="1"/>
  <c r="T67" i="11"/>
  <c r="U67" i="11" s="1"/>
  <c r="T13" i="11"/>
  <c r="U13" i="11" s="1"/>
  <c r="T28" i="11"/>
  <c r="U28" i="11" s="1"/>
  <c r="T20" i="11"/>
  <c r="U20" i="11" s="1"/>
  <c r="T65" i="11"/>
  <c r="T26" i="11"/>
  <c r="U26" i="11" s="1"/>
  <c r="T27" i="11"/>
  <c r="T40" i="11"/>
  <c r="U40" i="11" s="1"/>
  <c r="T33" i="11"/>
  <c r="T25" i="11"/>
  <c r="U25" i="11" s="1"/>
  <c r="T77" i="11"/>
  <c r="U77" i="11" s="1"/>
  <c r="T88" i="11"/>
  <c r="U88" i="11" s="1"/>
  <c r="T66" i="11"/>
  <c r="T68" i="11"/>
  <c r="T41" i="11"/>
  <c r="T21" i="11"/>
  <c r="U21" i="11" s="1"/>
  <c r="T76" i="11"/>
  <c r="U76" i="11" s="1"/>
  <c r="T22" i="11"/>
  <c r="U22" i="11" s="1"/>
  <c r="T50" i="11"/>
  <c r="U50" i="11" s="1"/>
  <c r="T46" i="11"/>
  <c r="U46" i="11" s="1"/>
  <c r="T53" i="11"/>
  <c r="U53" i="11" s="1"/>
  <c r="T56" i="11"/>
  <c r="T81" i="11"/>
  <c r="U81" i="11" s="1"/>
  <c r="T75" i="11"/>
  <c r="U75" i="11" s="1"/>
  <c r="T85" i="11"/>
  <c r="U85" i="11" s="1"/>
  <c r="D8" i="27"/>
  <c r="D7" i="27"/>
  <c r="D6" i="27"/>
  <c r="D5" i="27"/>
  <c r="D4" i="27"/>
  <c r="Q56" i="11"/>
  <c r="S56" i="11" s="1"/>
  <c r="O81" i="11"/>
  <c r="O13" i="11"/>
  <c r="O21" i="11"/>
  <c r="O22" i="11"/>
  <c r="O26" i="11"/>
  <c r="O76" i="11"/>
  <c r="O20" i="11"/>
  <c r="O53" i="11"/>
  <c r="O46" i="11"/>
  <c r="Q68" i="11"/>
  <c r="S68" i="11" s="1"/>
  <c r="O67" i="11"/>
  <c r="O28" i="11"/>
  <c r="O15" i="11"/>
  <c r="O40" i="11"/>
  <c r="O25" i="11"/>
  <c r="Q66" i="11"/>
  <c r="S66" i="11" s="1"/>
  <c r="Q33" i="11"/>
  <c r="S33" i="11" s="1"/>
  <c r="O16" i="11"/>
  <c r="O88" i="11"/>
  <c r="O75" i="11"/>
  <c r="O77" i="11"/>
  <c r="O85" i="11"/>
  <c r="O50" i="11"/>
  <c r="Q41" i="11"/>
  <c r="S41" i="11" s="1"/>
  <c r="Q14" i="11"/>
  <c r="S14" i="11" s="1"/>
  <c r="Q65" i="11"/>
  <c r="S65" i="11" s="1"/>
  <c r="M4" i="25"/>
  <c r="M3" i="25"/>
  <c r="I23" i="11"/>
  <c r="J23" i="11"/>
  <c r="K23" i="11" s="1"/>
  <c r="I79" i="11"/>
  <c r="J79" i="11"/>
  <c r="K79" i="11" s="1"/>
  <c r="I31" i="11"/>
  <c r="J31" i="11"/>
  <c r="K31" i="11" s="1"/>
  <c r="I78" i="11"/>
  <c r="J78" i="11"/>
  <c r="K78" i="11" s="1"/>
  <c r="I34" i="11"/>
  <c r="J34" i="11"/>
  <c r="K34" i="11" s="1"/>
  <c r="I63" i="11"/>
  <c r="J63" i="11"/>
  <c r="K63" i="11" s="1"/>
  <c r="I29" i="11"/>
  <c r="J29" i="11"/>
  <c r="K29" i="11" s="1"/>
  <c r="J93" i="11"/>
  <c r="J54" i="11"/>
  <c r="J90" i="11"/>
  <c r="J91" i="11"/>
  <c r="K91" i="11" s="1"/>
  <c r="J47" i="11"/>
  <c r="J72" i="11"/>
  <c r="J61" i="11"/>
  <c r="J39" i="11"/>
  <c r="J73" i="11"/>
  <c r="K73" i="11" s="1"/>
  <c r="J42" i="11"/>
  <c r="J92" i="11"/>
  <c r="J17" i="11"/>
  <c r="J48" i="11"/>
  <c r="J62" i="11"/>
  <c r="J30" i="11"/>
  <c r="J80" i="11"/>
  <c r="J36" i="11"/>
  <c r="J71" i="11"/>
  <c r="J24" i="11"/>
  <c r="J37" i="11"/>
  <c r="K37" i="11" s="1"/>
  <c r="J49" i="11"/>
  <c r="J43" i="11"/>
  <c r="K43" i="11" s="1"/>
  <c r="J83" i="11"/>
  <c r="J60" i="11"/>
  <c r="J95" i="11"/>
  <c r="J69" i="11"/>
  <c r="J59" i="11"/>
  <c r="J70" i="11"/>
  <c r="J38" i="11"/>
  <c r="J58" i="11"/>
  <c r="K58" i="11" s="1"/>
  <c r="J94" i="11"/>
  <c r="K94" i="11" s="1"/>
  <c r="J11" i="11"/>
  <c r="J18" i="11"/>
  <c r="K18" i="11" s="1"/>
  <c r="J51" i="11"/>
  <c r="J52" i="11"/>
  <c r="J55" i="11"/>
  <c r="K55" i="11" s="1"/>
  <c r="J82" i="11"/>
  <c r="J57" i="11"/>
  <c r="J89" i="11"/>
  <c r="J87" i="11"/>
  <c r="K87" i="11" s="1"/>
  <c r="J19" i="11"/>
  <c r="K19" i="11" s="1"/>
  <c r="J44" i="11"/>
  <c r="J64" i="11"/>
  <c r="J86" i="11"/>
  <c r="J45" i="11"/>
  <c r="K45" i="11" s="1"/>
  <c r="J12" i="11"/>
  <c r="K12" i="11" s="1"/>
  <c r="J74" i="11"/>
  <c r="K74" i="11" s="1"/>
  <c r="J32" i="11"/>
  <c r="J35" i="11"/>
  <c r="I93" i="11"/>
  <c r="I54" i="11"/>
  <c r="I90" i="11"/>
  <c r="I91" i="11"/>
  <c r="I47" i="11"/>
  <c r="I72" i="11"/>
  <c r="I61" i="11"/>
  <c r="I39" i="11"/>
  <c r="I73" i="11"/>
  <c r="I42" i="11"/>
  <c r="I92" i="11"/>
  <c r="I17" i="11"/>
  <c r="I48" i="11"/>
  <c r="I62" i="11"/>
  <c r="I30" i="11"/>
  <c r="I80" i="11"/>
  <c r="I36" i="11"/>
  <c r="I71" i="11"/>
  <c r="I24" i="11"/>
  <c r="I37" i="11"/>
  <c r="I49" i="11"/>
  <c r="I43" i="11"/>
  <c r="I83" i="11"/>
  <c r="I60" i="11"/>
  <c r="I95" i="11"/>
  <c r="O95" i="11" s="1"/>
  <c r="I69" i="11"/>
  <c r="I59" i="11"/>
  <c r="I70" i="11"/>
  <c r="I38" i="11"/>
  <c r="I58" i="11"/>
  <c r="I94" i="11"/>
  <c r="I11" i="11"/>
  <c r="I18" i="11"/>
  <c r="I51" i="11"/>
  <c r="I52" i="11"/>
  <c r="I55" i="11"/>
  <c r="I82" i="11"/>
  <c r="I57" i="11"/>
  <c r="I89" i="11"/>
  <c r="I87" i="11"/>
  <c r="I19" i="11"/>
  <c r="I44" i="11"/>
  <c r="I64" i="11"/>
  <c r="I86" i="11"/>
  <c r="I45" i="11"/>
  <c r="I12" i="11"/>
  <c r="I74" i="11"/>
  <c r="I32" i="11"/>
  <c r="I35" i="11"/>
  <c r="T58" i="11" a="1"/>
  <c r="T34" i="11" a="1"/>
  <c r="T37" i="11" a="1"/>
  <c r="T55" i="11" a="1"/>
  <c r="T94" i="11" a="1"/>
  <c r="T74" i="11" a="1"/>
  <c r="T29" i="11" a="1"/>
  <c r="T78" i="11" a="1"/>
  <c r="T87" i="11" a="1"/>
  <c r="T12" i="11" a="1"/>
  <c r="T23" i="11" a="1"/>
  <c r="T31" i="11" a="1"/>
  <c r="T91" i="11" a="1"/>
  <c r="T19" i="11" a="1"/>
  <c r="T45" i="11" a="1"/>
  <c r="T73" i="11" a="1"/>
  <c r="T63" i="11" a="1"/>
  <c r="T79" i="11" a="1"/>
  <c r="T18" i="11" a="1"/>
  <c r="T43" i="11" a="1"/>
  <c r="W41" i="11" l="1"/>
  <c r="U41" i="11"/>
  <c r="W14" i="11"/>
  <c r="U14" i="11"/>
  <c r="W56" i="11"/>
  <c r="U56" i="11"/>
  <c r="W27" i="11"/>
  <c r="U27" i="11"/>
  <c r="W68" i="11"/>
  <c r="U68" i="11"/>
  <c r="W66" i="11"/>
  <c r="Z66" i="11" s="1"/>
  <c r="AA66" i="11" s="1"/>
  <c r="U66" i="11"/>
  <c r="W33" i="11"/>
  <c r="U33" i="11"/>
  <c r="W65" i="11"/>
  <c r="U65" i="11"/>
  <c r="Z65" i="11"/>
  <c r="AA65" i="11" s="1"/>
  <c r="Z14" i="11"/>
  <c r="AA14" i="11" s="1"/>
  <c r="Z56" i="11"/>
  <c r="AA56" i="11" s="1"/>
  <c r="Z27" i="11"/>
  <c r="AA27" i="11" s="1"/>
  <c r="Z41" i="11"/>
  <c r="AA41" i="11" s="1"/>
  <c r="Z68" i="11"/>
  <c r="AA68" i="11" s="1"/>
  <c r="Z33" i="11"/>
  <c r="AA33" i="11" s="1"/>
  <c r="V28" i="11"/>
  <c r="X28" i="11" s="1"/>
  <c r="V77" i="11"/>
  <c r="X77" i="11" s="1"/>
  <c r="V22" i="11"/>
  <c r="X22" i="11" s="1"/>
  <c r="V40" i="11"/>
  <c r="X40" i="11" s="1"/>
  <c r="V26" i="11"/>
  <c r="X26" i="11" s="1"/>
  <c r="V81" i="11"/>
  <c r="X81" i="11" s="1"/>
  <c r="V15" i="11"/>
  <c r="X15" i="11" s="1"/>
  <c r="V14" i="11"/>
  <c r="X14" i="11" s="1"/>
  <c r="V56" i="11"/>
  <c r="X56" i="11" s="1"/>
  <c r="V75" i="11"/>
  <c r="X75" i="11" s="1"/>
  <c r="V67" i="11"/>
  <c r="X67" i="11" s="1"/>
  <c r="V21" i="11"/>
  <c r="X21" i="11" s="1"/>
  <c r="V16" i="11"/>
  <c r="X16" i="11" s="1"/>
  <c r="V27" i="11"/>
  <c r="X27" i="11" s="1"/>
  <c r="V53" i="11"/>
  <c r="X53" i="11" s="1"/>
  <c r="V88" i="11"/>
  <c r="X88" i="11" s="1"/>
  <c r="Q13" i="11"/>
  <c r="S13" i="11" s="1"/>
  <c r="V13" i="11"/>
  <c r="X13" i="11" s="1"/>
  <c r="V50" i="11"/>
  <c r="X50" i="11" s="1"/>
  <c r="V25" i="11"/>
  <c r="X25" i="11" s="1"/>
  <c r="V20" i="11"/>
  <c r="X20" i="11" s="1"/>
  <c r="V33" i="11"/>
  <c r="X33" i="11" s="1"/>
  <c r="V65" i="11"/>
  <c r="X65" i="11" s="1"/>
  <c r="V46" i="11"/>
  <c r="X46" i="11" s="1"/>
  <c r="V66" i="11"/>
  <c r="X66" i="11" s="1"/>
  <c r="V85" i="11"/>
  <c r="X85" i="11" s="1"/>
  <c r="V76" i="11"/>
  <c r="X76" i="11" s="1"/>
  <c r="V41" i="11"/>
  <c r="X41" i="11" s="1"/>
  <c r="V68" i="11"/>
  <c r="X68" i="11" s="1"/>
  <c r="T55" i="11"/>
  <c r="U55" i="11" s="1"/>
  <c r="T37" i="11"/>
  <c r="U37" i="11" s="1"/>
  <c r="T91" i="11"/>
  <c r="U91" i="11" s="1"/>
  <c r="T34" i="11"/>
  <c r="U34" i="11" s="1"/>
  <c r="T23" i="11"/>
  <c r="U23" i="11" s="1"/>
  <c r="T78" i="11"/>
  <c r="U78" i="11" s="1"/>
  <c r="T18" i="11"/>
  <c r="U18" i="11" s="1"/>
  <c r="T87" i="11"/>
  <c r="U87" i="11" s="1"/>
  <c r="T29" i="11"/>
  <c r="U29" i="11" s="1"/>
  <c r="T74" i="11"/>
  <c r="U74" i="11" s="1"/>
  <c r="T94" i="11"/>
  <c r="U94" i="11" s="1"/>
  <c r="T45" i="11"/>
  <c r="U45" i="11" s="1"/>
  <c r="T19" i="11"/>
  <c r="U19" i="11" s="1"/>
  <c r="T73" i="11"/>
  <c r="U73" i="11" s="1"/>
  <c r="T31" i="11"/>
  <c r="U31" i="11" s="1"/>
  <c r="T12" i="11"/>
  <c r="U12" i="11" s="1"/>
  <c r="T58" i="11"/>
  <c r="U58" i="11" s="1"/>
  <c r="T43" i="11"/>
  <c r="U43" i="11" s="1"/>
  <c r="T63" i="11"/>
  <c r="U63" i="11" s="1"/>
  <c r="T79" i="11"/>
  <c r="U79" i="11" s="1"/>
  <c r="K44" i="11"/>
  <c r="W13" i="11"/>
  <c r="Q50" i="11"/>
  <c r="S50" i="11" s="1"/>
  <c r="W50" i="11"/>
  <c r="Q85" i="11"/>
  <c r="S85" i="11" s="1"/>
  <c r="W85" i="11"/>
  <c r="Q77" i="11"/>
  <c r="W77" i="11"/>
  <c r="Q75" i="11"/>
  <c r="S75" i="11" s="1"/>
  <c r="W75" i="11"/>
  <c r="Q88" i="11"/>
  <c r="S88" i="11" s="1"/>
  <c r="W88" i="11"/>
  <c r="Q16" i="11"/>
  <c r="S16" i="11" s="1"/>
  <c r="W16" i="11"/>
  <c r="Q25" i="11"/>
  <c r="S25" i="11" s="1"/>
  <c r="W25" i="11"/>
  <c r="Q40" i="11"/>
  <c r="S40" i="11" s="1"/>
  <c r="W40" i="11"/>
  <c r="Q15" i="11"/>
  <c r="S15" i="11" s="1"/>
  <c r="W15" i="11"/>
  <c r="Q28" i="11"/>
  <c r="S28" i="11" s="1"/>
  <c r="W28" i="11"/>
  <c r="Q67" i="11"/>
  <c r="S67" i="11" s="1"/>
  <c r="W67" i="11"/>
  <c r="Q46" i="11"/>
  <c r="S46" i="11" s="1"/>
  <c r="W46" i="11"/>
  <c r="Q53" i="11"/>
  <c r="S53" i="11" s="1"/>
  <c r="W53" i="11"/>
  <c r="Q20" i="11"/>
  <c r="S20" i="11" s="1"/>
  <c r="W20" i="11"/>
  <c r="Q76" i="11"/>
  <c r="S76" i="11" s="1"/>
  <c r="W76" i="11"/>
  <c r="Q26" i="11"/>
  <c r="S26" i="11" s="1"/>
  <c r="W26" i="11"/>
  <c r="Q22" i="11"/>
  <c r="S22" i="11" s="1"/>
  <c r="W22" i="11"/>
  <c r="Q21" i="11"/>
  <c r="S21" i="11" s="1"/>
  <c r="W21" i="11"/>
  <c r="Q81" i="11"/>
  <c r="S81" i="11" s="1"/>
  <c r="W81" i="11"/>
  <c r="K80" i="11"/>
  <c r="O79" i="11"/>
  <c r="K69" i="11"/>
  <c r="K42" i="11"/>
  <c r="K47" i="11"/>
  <c r="O31" i="11"/>
  <c r="K39" i="11"/>
  <c r="K72" i="11"/>
  <c r="O23" i="11"/>
  <c r="O34" i="11"/>
  <c r="K71" i="11"/>
  <c r="O29" i="11"/>
  <c r="K36" i="11"/>
  <c r="K64" i="11"/>
  <c r="K83" i="11"/>
  <c r="K61" i="11"/>
  <c r="K93" i="11"/>
  <c r="O78" i="11"/>
  <c r="V78" i="11" s="1"/>
  <c r="X78" i="11" s="1"/>
  <c r="O63" i="11"/>
  <c r="K48" i="11"/>
  <c r="K92" i="11"/>
  <c r="K70" i="11"/>
  <c r="K59" i="11"/>
  <c r="K38" i="11"/>
  <c r="K49" i="11"/>
  <c r="K89" i="11"/>
  <c r="K57" i="11"/>
  <c r="K82" i="11"/>
  <c r="K60" i="11"/>
  <c r="K11" i="11"/>
  <c r="K95" i="11"/>
  <c r="Q95" i="11" s="1"/>
  <c r="K17" i="11"/>
  <c r="K35" i="11"/>
  <c r="K24" i="11"/>
  <c r="K32" i="11"/>
  <c r="K90" i="11"/>
  <c r="K54" i="11"/>
  <c r="K86" i="11"/>
  <c r="K62" i="11"/>
  <c r="K52" i="11"/>
  <c r="K51" i="11"/>
  <c r="K13" i="13"/>
  <c r="O13" i="13" s="1"/>
  <c r="K14" i="13"/>
  <c r="O14" i="13" s="1"/>
  <c r="K12" i="13"/>
  <c r="J15" i="13"/>
  <c r="O15" i="13" s="1"/>
  <c r="I12" i="13"/>
  <c r="J12" i="13" s="1"/>
  <c r="J13" i="13"/>
  <c r="J14" i="13"/>
  <c r="H15" i="13"/>
  <c r="N15" i="13" s="1"/>
  <c r="H12" i="13"/>
  <c r="N12" i="13" s="1"/>
  <c r="H13" i="13"/>
  <c r="N13" i="13" s="1"/>
  <c r="H14" i="13"/>
  <c r="N14" i="13" s="1"/>
  <c r="J84" i="11"/>
  <c r="I84" i="11"/>
  <c r="T54" i="11" a="1"/>
  <c r="T82" i="11" a="1"/>
  <c r="T83" i="11" a="1"/>
  <c r="T11" i="11" a="1"/>
  <c r="T72" i="11" a="1"/>
  <c r="T38" i="11" a="1"/>
  <c r="T62" i="11" a="1"/>
  <c r="T24" i="11" a="1"/>
  <c r="T80" i="11" a="1"/>
  <c r="T49" i="11" a="1"/>
  <c r="T44" i="11" a="1"/>
  <c r="T35" i="11" a="1"/>
  <c r="T64" i="11" a="1"/>
  <c r="T93" i="11" a="1"/>
  <c r="T39" i="11" a="1"/>
  <c r="T36" i="11" a="1"/>
  <c r="T42" i="11" a="1"/>
  <c r="T48" i="11" a="1"/>
  <c r="T32" i="11" a="1"/>
  <c r="T60" i="11" a="1"/>
  <c r="T17" i="11" a="1"/>
  <c r="T51" i="11" a="1"/>
  <c r="T47" i="11" a="1"/>
  <c r="T59" i="11" a="1"/>
  <c r="T52" i="11" a="1"/>
  <c r="T57" i="11" a="1"/>
  <c r="T69" i="11" a="1"/>
  <c r="T70" i="11" a="1"/>
  <c r="T86" i="11" a="1"/>
  <c r="T92" i="11" a="1"/>
  <c r="T71" i="11" a="1"/>
  <c r="T89" i="11" a="1"/>
  <c r="T61" i="11" a="1"/>
  <c r="T90" i="11" a="1"/>
  <c r="T95" i="11" a="1"/>
  <c r="S77" i="11" l="1"/>
  <c r="Y68" i="11"/>
  <c r="Y27" i="11"/>
  <c r="Y41" i="11"/>
  <c r="V79" i="11"/>
  <c r="X79" i="11" s="1"/>
  <c r="Y56" i="11"/>
  <c r="V34" i="11"/>
  <c r="X34" i="11" s="1"/>
  <c r="Y33" i="11"/>
  <c r="Z40" i="11"/>
  <c r="AA40" i="11" s="1"/>
  <c r="Y40" i="11"/>
  <c r="Z53" i="11"/>
  <c r="AA53" i="11" s="1"/>
  <c r="Y53" i="11"/>
  <c r="Z50" i="11"/>
  <c r="AA50" i="11" s="1"/>
  <c r="Y50" i="11"/>
  <c r="Z88" i="11"/>
  <c r="AA88" i="11" s="1"/>
  <c r="Y88" i="11"/>
  <c r="Z26" i="11"/>
  <c r="AA26" i="11" s="1"/>
  <c r="Y26" i="11"/>
  <c r="Z75" i="11"/>
  <c r="AA75" i="11" s="1"/>
  <c r="Y75" i="11"/>
  <c r="Y66" i="11"/>
  <c r="Y65" i="11"/>
  <c r="Z20" i="11"/>
  <c r="AA20" i="11" s="1"/>
  <c r="Y20" i="11"/>
  <c r="Z85" i="11"/>
  <c r="AA85" i="11" s="1"/>
  <c r="Y85" i="11"/>
  <c r="Z81" i="11"/>
  <c r="AA81" i="11" s="1"/>
  <c r="Y81" i="11"/>
  <c r="Z25" i="11"/>
  <c r="AA25" i="11" s="1"/>
  <c r="Y25" i="11"/>
  <c r="Z21" i="11"/>
  <c r="AA21" i="11" s="1"/>
  <c r="Y21" i="11"/>
  <c r="Z46" i="11"/>
  <c r="AA46" i="11" s="1"/>
  <c r="Y46" i="11"/>
  <c r="Z16" i="11"/>
  <c r="AA16" i="11" s="1"/>
  <c r="Y16" i="11"/>
  <c r="Z13" i="11"/>
  <c r="AA13" i="11" s="1"/>
  <c r="Y13" i="11"/>
  <c r="Z22" i="11"/>
  <c r="AA22" i="11" s="1"/>
  <c r="Y22" i="11"/>
  <c r="Z67" i="11"/>
  <c r="AA67" i="11" s="1"/>
  <c r="Y67" i="11"/>
  <c r="Y14" i="11"/>
  <c r="Z28" i="11"/>
  <c r="AA28" i="11" s="1"/>
  <c r="Y28" i="11"/>
  <c r="Z76" i="11"/>
  <c r="AA76" i="11" s="1"/>
  <c r="Y76" i="11"/>
  <c r="Z15" i="11"/>
  <c r="AA15" i="11" s="1"/>
  <c r="Y15" i="11"/>
  <c r="Z77" i="11"/>
  <c r="AA77" i="11" s="1"/>
  <c r="Y77" i="11"/>
  <c r="V63" i="11"/>
  <c r="X63" i="11" s="1"/>
  <c r="W23" i="11"/>
  <c r="V23" i="11"/>
  <c r="X23" i="11" s="1"/>
  <c r="V29" i="11"/>
  <c r="X29" i="11" s="1"/>
  <c r="V31" i="11"/>
  <c r="X31" i="11" s="1"/>
  <c r="T82" i="11"/>
  <c r="U82" i="11" s="1"/>
  <c r="T42" i="11"/>
  <c r="U42" i="11" s="1"/>
  <c r="T24" i="11"/>
  <c r="U24" i="11" s="1"/>
  <c r="T57" i="11"/>
  <c r="U57" i="11" s="1"/>
  <c r="T71" i="11"/>
  <c r="U71" i="11" s="1"/>
  <c r="T69" i="11"/>
  <c r="U69" i="11" s="1"/>
  <c r="T51" i="11"/>
  <c r="U51" i="11" s="1"/>
  <c r="T35" i="11"/>
  <c r="U35" i="11" s="1"/>
  <c r="T89" i="11"/>
  <c r="U89" i="11" s="1"/>
  <c r="T48" i="11"/>
  <c r="U48" i="11" s="1"/>
  <c r="T52" i="11"/>
  <c r="U52" i="11" s="1"/>
  <c r="T17" i="11"/>
  <c r="U17" i="11" s="1"/>
  <c r="T49" i="11"/>
  <c r="U49" i="11" s="1"/>
  <c r="T93" i="11"/>
  <c r="U93" i="11" s="1"/>
  <c r="T95" i="11"/>
  <c r="T61" i="11"/>
  <c r="U61" i="11" s="1"/>
  <c r="T72" i="11"/>
  <c r="U72" i="11" s="1"/>
  <c r="T11" i="11"/>
  <c r="U11" i="11" s="1"/>
  <c r="T83" i="11"/>
  <c r="U83" i="11" s="1"/>
  <c r="T54" i="11"/>
  <c r="U54" i="11" s="1"/>
  <c r="T60" i="11"/>
  <c r="U60" i="11" s="1"/>
  <c r="T70" i="11"/>
  <c r="U70" i="11" s="1"/>
  <c r="T64" i="11"/>
  <c r="U64" i="11" s="1"/>
  <c r="T32" i="11"/>
  <c r="U32" i="11" s="1"/>
  <c r="T80" i="11"/>
  <c r="U80" i="11" s="1"/>
  <c r="T44" i="11"/>
  <c r="U44" i="11" s="1"/>
  <c r="T62" i="11"/>
  <c r="U62" i="11" s="1"/>
  <c r="T38" i="11"/>
  <c r="U38" i="11" s="1"/>
  <c r="T86" i="11"/>
  <c r="U86" i="11" s="1"/>
  <c r="T59" i="11"/>
  <c r="U59" i="11" s="1"/>
  <c r="T39" i="11"/>
  <c r="U39" i="11" s="1"/>
  <c r="T90" i="11"/>
  <c r="U90" i="11" s="1"/>
  <c r="T92" i="11"/>
  <c r="U92" i="11" s="1"/>
  <c r="T36" i="11"/>
  <c r="U36" i="11" s="1"/>
  <c r="T47" i="11"/>
  <c r="U47" i="11" s="1"/>
  <c r="Q23" i="11"/>
  <c r="S23" i="11" s="1"/>
  <c r="Q63" i="11"/>
  <c r="S63" i="11" s="1"/>
  <c r="W63" i="11"/>
  <c r="Q78" i="11"/>
  <c r="S78" i="11" s="1"/>
  <c r="W78" i="11"/>
  <c r="Q29" i="11"/>
  <c r="S29" i="11" s="1"/>
  <c r="W29" i="11"/>
  <c r="Q34" i="11"/>
  <c r="S34" i="11" s="1"/>
  <c r="W34" i="11"/>
  <c r="Q31" i="11"/>
  <c r="S31" i="11" s="1"/>
  <c r="W31" i="11"/>
  <c r="Q79" i="11"/>
  <c r="S79" i="11" s="1"/>
  <c r="W79" i="11"/>
  <c r="K84" i="11"/>
  <c r="K30" i="11"/>
  <c r="O82" i="11"/>
  <c r="O30" i="11"/>
  <c r="O92" i="11"/>
  <c r="O45" i="11"/>
  <c r="V45" i="11" s="1"/>
  <c r="X45" i="11" s="1"/>
  <c r="O42" i="11"/>
  <c r="O90" i="11"/>
  <c r="V90" i="11" s="1"/>
  <c r="X90" i="11" s="1"/>
  <c r="O86" i="11"/>
  <c r="O69" i="11"/>
  <c r="O71" i="11"/>
  <c r="O74" i="11"/>
  <c r="V74" i="11" s="1"/>
  <c r="X74" i="11" s="1"/>
  <c r="O87" i="11"/>
  <c r="V87" i="11" s="1"/>
  <c r="X87" i="11" s="1"/>
  <c r="O93" i="11"/>
  <c r="V93" i="11" s="1"/>
  <c r="X93" i="11" s="1"/>
  <c r="O61" i="11"/>
  <c r="O80" i="11"/>
  <c r="O64" i="11"/>
  <c r="O51" i="11"/>
  <c r="O58" i="11"/>
  <c r="V58" i="11" s="1"/>
  <c r="X58" i="11" s="1"/>
  <c r="O43" i="11"/>
  <c r="V43" i="11" s="1"/>
  <c r="X43" i="11" s="1"/>
  <c r="O39" i="11"/>
  <c r="O38" i="11"/>
  <c r="O49" i="11"/>
  <c r="O37" i="11"/>
  <c r="V37" i="11" s="1"/>
  <c r="X37" i="11" s="1"/>
  <c r="O70" i="11"/>
  <c r="O91" i="11"/>
  <c r="V91" i="11" s="1"/>
  <c r="X91" i="11" s="1"/>
  <c r="O52" i="11"/>
  <c r="O36" i="11"/>
  <c r="O35" i="11"/>
  <c r="P15" i="13"/>
  <c r="Q15" i="13" s="1"/>
  <c r="P14" i="13"/>
  <c r="Q14" i="13" s="1"/>
  <c r="P13" i="13"/>
  <c r="Q13" i="13" s="1"/>
  <c r="O12" i="13"/>
  <c r="P12" i="13" s="1"/>
  <c r="Q12" i="13" s="1"/>
  <c r="O17" i="11"/>
  <c r="O83" i="11"/>
  <c r="O47" i="11"/>
  <c r="O19" i="11"/>
  <c r="V19" i="11" s="1"/>
  <c r="X19" i="11" s="1"/>
  <c r="O55" i="11"/>
  <c r="V55" i="11" s="1"/>
  <c r="X55" i="11" s="1"/>
  <c r="O24" i="11"/>
  <c r="O32" i="11"/>
  <c r="O94" i="11"/>
  <c r="O44" i="11"/>
  <c r="O48" i="11"/>
  <c r="O12" i="11"/>
  <c r="V12" i="11" s="1"/>
  <c r="X12" i="11" s="1"/>
  <c r="O57" i="11"/>
  <c r="O84" i="11"/>
  <c r="O54" i="11"/>
  <c r="O73" i="11"/>
  <c r="V73" i="11" s="1"/>
  <c r="X73" i="11" s="1"/>
  <c r="O62" i="11"/>
  <c r="O18" i="11"/>
  <c r="V18" i="11" s="1"/>
  <c r="X18" i="11" s="1"/>
  <c r="O60" i="11"/>
  <c r="O72" i="11"/>
  <c r="O89" i="11"/>
  <c r="T30" i="11" a="1"/>
  <c r="T84" i="11" a="1"/>
  <c r="B7" i="11" l="1"/>
  <c r="V51" i="11"/>
  <c r="X51" i="11" s="1"/>
  <c r="V94" i="11"/>
  <c r="X94" i="11" s="1"/>
  <c r="V80" i="11"/>
  <c r="X80" i="11" s="1"/>
  <c r="Z95" i="11"/>
  <c r="Q93" i="11"/>
  <c r="S93" i="11" s="1"/>
  <c r="V86" i="11"/>
  <c r="X86" i="11" s="1"/>
  <c r="V49" i="11"/>
  <c r="X49" i="11" s="1"/>
  <c r="V71" i="11"/>
  <c r="X71" i="11" s="1"/>
  <c r="V69" i="11"/>
  <c r="X69" i="11" s="1"/>
  <c r="Z79" i="11"/>
  <c r="AA79" i="11" s="1"/>
  <c r="Y79" i="11"/>
  <c r="Z31" i="11"/>
  <c r="AA31" i="11" s="1"/>
  <c r="Y31" i="11"/>
  <c r="Z29" i="11"/>
  <c r="AA29" i="11" s="1"/>
  <c r="Y29" i="11"/>
  <c r="V60" i="11"/>
  <c r="X60" i="11" s="1"/>
  <c r="V95" i="11"/>
  <c r="Z78" i="11"/>
  <c r="AA78" i="11" s="1"/>
  <c r="Y78" i="11"/>
  <c r="Z34" i="11"/>
  <c r="AA34" i="11" s="1"/>
  <c r="Y34" i="11"/>
  <c r="V64" i="11"/>
  <c r="X64" i="11" s="1"/>
  <c r="Z23" i="11"/>
  <c r="AA23" i="11" s="1"/>
  <c r="Y23" i="11"/>
  <c r="Z63" i="11"/>
  <c r="AA63" i="11" s="1"/>
  <c r="Y63" i="11"/>
  <c r="V32" i="11"/>
  <c r="X32" i="11" s="1"/>
  <c r="V70" i="11"/>
  <c r="X70" i="11" s="1"/>
  <c r="V44" i="11"/>
  <c r="X44" i="11" s="1"/>
  <c r="V82" i="11"/>
  <c r="X82" i="11" s="1"/>
  <c r="V48" i="11"/>
  <c r="X48" i="11" s="1"/>
  <c r="V39" i="11"/>
  <c r="X39" i="11" s="1"/>
  <c r="V83" i="11"/>
  <c r="X83" i="11" s="1"/>
  <c r="V52" i="11"/>
  <c r="X52" i="11" s="1"/>
  <c r="V17" i="11"/>
  <c r="X17" i="11" s="1"/>
  <c r="V62" i="11"/>
  <c r="X62" i="11" s="1"/>
  <c r="V38" i="11"/>
  <c r="X38" i="11" s="1"/>
  <c r="V61" i="11"/>
  <c r="X61" i="11" s="1"/>
  <c r="V42" i="11"/>
  <c r="X42" i="11" s="1"/>
  <c r="V54" i="11"/>
  <c r="X54" i="11" s="1"/>
  <c r="V89" i="11"/>
  <c r="X89" i="11" s="1"/>
  <c r="V57" i="11"/>
  <c r="X57" i="11" s="1"/>
  <c r="V35" i="11"/>
  <c r="X35" i="11" s="1"/>
  <c r="V24" i="11"/>
  <c r="X24" i="11" s="1"/>
  <c r="V72" i="11"/>
  <c r="X72" i="11" s="1"/>
  <c r="V47" i="11"/>
  <c r="X47" i="11" s="1"/>
  <c r="V36" i="11"/>
  <c r="X36" i="11" s="1"/>
  <c r="V92" i="11"/>
  <c r="X92" i="11" s="1"/>
  <c r="T30" i="11"/>
  <c r="T84" i="11"/>
  <c r="Q89" i="11"/>
  <c r="S89" i="11" s="1"/>
  <c r="W89" i="11"/>
  <c r="Q11" i="11"/>
  <c r="Q72" i="11"/>
  <c r="S72" i="11" s="1"/>
  <c r="W72" i="11"/>
  <c r="Q60" i="11"/>
  <c r="S60" i="11" s="1"/>
  <c r="W60" i="11"/>
  <c r="Q18" i="11"/>
  <c r="S18" i="11" s="1"/>
  <c r="W18" i="11"/>
  <c r="Q62" i="11"/>
  <c r="S62" i="11" s="1"/>
  <c r="W62" i="11"/>
  <c r="Q73" i="11"/>
  <c r="S73" i="11" s="1"/>
  <c r="W73" i="11"/>
  <c r="Q54" i="11"/>
  <c r="S54" i="11" s="1"/>
  <c r="W54" i="11"/>
  <c r="Q84" i="11"/>
  <c r="S84" i="11" s="1"/>
  <c r="Q57" i="11"/>
  <c r="S57" i="11" s="1"/>
  <c r="W57" i="11"/>
  <c r="Q12" i="11"/>
  <c r="S12" i="11" s="1"/>
  <c r="Q48" i="11"/>
  <c r="S48" i="11" s="1"/>
  <c r="W48" i="11"/>
  <c r="Q44" i="11"/>
  <c r="S44" i="11" s="1"/>
  <c r="W44" i="11"/>
  <c r="Q94" i="11"/>
  <c r="S94" i="11" s="1"/>
  <c r="W94" i="11"/>
  <c r="Q32" i="11"/>
  <c r="S32" i="11" s="1"/>
  <c r="W32" i="11"/>
  <c r="Q24" i="11"/>
  <c r="S24" i="11" s="1"/>
  <c r="W24" i="11"/>
  <c r="Q55" i="11"/>
  <c r="S55" i="11" s="1"/>
  <c r="W55" i="11"/>
  <c r="Q19" i="11"/>
  <c r="S19" i="11" s="1"/>
  <c r="W19" i="11"/>
  <c r="Q47" i="11"/>
  <c r="S47" i="11" s="1"/>
  <c r="W47" i="11"/>
  <c r="Q83" i="11"/>
  <c r="S83" i="11" s="1"/>
  <c r="W83" i="11"/>
  <c r="Q17" i="11"/>
  <c r="S17" i="11" s="1"/>
  <c r="W17" i="11"/>
  <c r="Q35" i="11"/>
  <c r="S35" i="11" s="1"/>
  <c r="W35" i="11"/>
  <c r="Q36" i="11"/>
  <c r="S36" i="11" s="1"/>
  <c r="W36" i="11"/>
  <c r="Q52" i="11"/>
  <c r="S52" i="11" s="1"/>
  <c r="W52" i="11"/>
  <c r="Q91" i="11"/>
  <c r="S91" i="11" s="1"/>
  <c r="Q70" i="11"/>
  <c r="S70" i="11" s="1"/>
  <c r="W70" i="11"/>
  <c r="Q37" i="11"/>
  <c r="S37" i="11" s="1"/>
  <c r="W37" i="11"/>
  <c r="Q49" i="11"/>
  <c r="S49" i="11" s="1"/>
  <c r="W49" i="11"/>
  <c r="Q38" i="11"/>
  <c r="S38" i="11" s="1"/>
  <c r="W38" i="11"/>
  <c r="Q39" i="11"/>
  <c r="S39" i="11" s="1"/>
  <c r="W39" i="11"/>
  <c r="Q43" i="11"/>
  <c r="S43" i="11" s="1"/>
  <c r="W43" i="11"/>
  <c r="Q58" i="11"/>
  <c r="S58" i="11" s="1"/>
  <c r="W58" i="11"/>
  <c r="Q51" i="11"/>
  <c r="S51" i="11" s="1"/>
  <c r="W51" i="11"/>
  <c r="Q64" i="11"/>
  <c r="S64" i="11" s="1"/>
  <c r="W64" i="11"/>
  <c r="Q80" i="11"/>
  <c r="S80" i="11" s="1"/>
  <c r="W80" i="11"/>
  <c r="Q61" i="11"/>
  <c r="S61" i="11" s="1"/>
  <c r="W61" i="11"/>
  <c r="W93" i="11"/>
  <c r="Q87" i="11"/>
  <c r="S87" i="11" s="1"/>
  <c r="W87" i="11"/>
  <c r="Q74" i="11"/>
  <c r="S74" i="11" s="1"/>
  <c r="W74" i="11"/>
  <c r="Q71" i="11"/>
  <c r="S71" i="11" s="1"/>
  <c r="W71" i="11"/>
  <c r="Q69" i="11"/>
  <c r="S69" i="11" s="1"/>
  <c r="W69" i="11"/>
  <c r="Q86" i="11"/>
  <c r="S86" i="11" s="1"/>
  <c r="W86" i="11"/>
  <c r="Q90" i="11"/>
  <c r="S90" i="11" s="1"/>
  <c r="W90" i="11"/>
  <c r="Q42" i="11"/>
  <c r="S42" i="11" s="1"/>
  <c r="W42" i="11"/>
  <c r="Q45" i="11"/>
  <c r="S45" i="11" s="1"/>
  <c r="W45" i="11"/>
  <c r="Q92" i="11"/>
  <c r="S92" i="11" s="1"/>
  <c r="W92" i="11"/>
  <c r="Q30" i="11"/>
  <c r="S30" i="11" s="1"/>
  <c r="Q82" i="11"/>
  <c r="S82" i="11" s="1"/>
  <c r="W82" i="11"/>
  <c r="Q16" i="13"/>
  <c r="P16" i="13"/>
  <c r="O59" i="11"/>
  <c r="F7" i="11" s="1"/>
  <c r="AA95" i="11" l="1"/>
  <c r="W84" i="11"/>
  <c r="U84" i="11"/>
  <c r="V30" i="11"/>
  <c r="X30" i="11" s="1"/>
  <c r="U30" i="11"/>
  <c r="X95" i="11"/>
  <c r="Y95" i="11"/>
  <c r="Z87" i="11"/>
  <c r="AA87" i="11" s="1"/>
  <c r="Y87" i="11"/>
  <c r="Z17" i="11"/>
  <c r="AA17" i="11" s="1"/>
  <c r="Y17" i="11"/>
  <c r="Z58" i="11"/>
  <c r="AA58" i="11" s="1"/>
  <c r="Y58" i="11"/>
  <c r="Z83" i="11"/>
  <c r="AA83" i="11" s="1"/>
  <c r="Y83" i="11"/>
  <c r="Z94" i="11"/>
  <c r="AA94" i="11" s="1"/>
  <c r="Y94" i="11"/>
  <c r="Z89" i="11"/>
  <c r="AA89" i="11" s="1"/>
  <c r="Y89" i="11"/>
  <c r="Z73" i="11"/>
  <c r="AA73" i="11" s="1"/>
  <c r="Y73" i="11"/>
  <c r="Z91" i="11"/>
  <c r="AA91" i="11" s="1"/>
  <c r="Y91" i="11"/>
  <c r="Z62" i="11"/>
  <c r="AA62" i="11" s="1"/>
  <c r="Y62" i="11"/>
  <c r="W30" i="11"/>
  <c r="Z69" i="11"/>
  <c r="AA69" i="11" s="1"/>
  <c r="Y69" i="11"/>
  <c r="Z39" i="11"/>
  <c r="AA39" i="11" s="1"/>
  <c r="Y39" i="11"/>
  <c r="Z52" i="11"/>
  <c r="AA52" i="11" s="1"/>
  <c r="Y52" i="11"/>
  <c r="Z19" i="11"/>
  <c r="AA19" i="11" s="1"/>
  <c r="Y19" i="11"/>
  <c r="Z48" i="11"/>
  <c r="AA48" i="11" s="1"/>
  <c r="Y48" i="11"/>
  <c r="Z18" i="11"/>
  <c r="AA18" i="11" s="1"/>
  <c r="Y18" i="11"/>
  <c r="Z72" i="11"/>
  <c r="AA72" i="11" s="1"/>
  <c r="Y72" i="11"/>
  <c r="Z51" i="11"/>
  <c r="AA51" i="11" s="1"/>
  <c r="Y51" i="11"/>
  <c r="Z96" i="11"/>
  <c r="AA96" i="11" s="1"/>
  <c r="Z93" i="11"/>
  <c r="AA93" i="11" s="1"/>
  <c r="Y93" i="11"/>
  <c r="Z82" i="11"/>
  <c r="AA82" i="11" s="1"/>
  <c r="Y82" i="11"/>
  <c r="Z61" i="11"/>
  <c r="AA61" i="11" s="1"/>
  <c r="Y61" i="11"/>
  <c r="Z47" i="11"/>
  <c r="AA47" i="11" s="1"/>
  <c r="Y47" i="11"/>
  <c r="Z44" i="11"/>
  <c r="AA44" i="11" s="1"/>
  <c r="Y44" i="11"/>
  <c r="Z71" i="11"/>
  <c r="AA71" i="11" s="1"/>
  <c r="Y71" i="11"/>
  <c r="Z38" i="11"/>
  <c r="AA38" i="11" s="1"/>
  <c r="Y38" i="11"/>
  <c r="Z55" i="11"/>
  <c r="AA55" i="11" s="1"/>
  <c r="Y55" i="11"/>
  <c r="Z12" i="11"/>
  <c r="AA12" i="11" s="1"/>
  <c r="Y12" i="11"/>
  <c r="Z42" i="11"/>
  <c r="AA42" i="11" s="1"/>
  <c r="Y42" i="11"/>
  <c r="Z37" i="11"/>
  <c r="AA37" i="11" s="1"/>
  <c r="Y37" i="11"/>
  <c r="Z32" i="11"/>
  <c r="AA32" i="11" s="1"/>
  <c r="Y32" i="11"/>
  <c r="Z86" i="11"/>
  <c r="AA86" i="11" s="1"/>
  <c r="Y86" i="11"/>
  <c r="Z43" i="11"/>
  <c r="AA43" i="11" s="1"/>
  <c r="Y43" i="11"/>
  <c r="Z84" i="11"/>
  <c r="AA84" i="11" s="1"/>
  <c r="Z54" i="11"/>
  <c r="AA54" i="11" s="1"/>
  <c r="Y54" i="11"/>
  <c r="Z90" i="11"/>
  <c r="AA90" i="11" s="1"/>
  <c r="Y90" i="11"/>
  <c r="Z70" i="11"/>
  <c r="AA70" i="11" s="1"/>
  <c r="Y70" i="11"/>
  <c r="Z92" i="11"/>
  <c r="AA92" i="11" s="1"/>
  <c r="Y92" i="11"/>
  <c r="Z80" i="11"/>
  <c r="AA80" i="11" s="1"/>
  <c r="Y80" i="11"/>
  <c r="Z36" i="11"/>
  <c r="AA36" i="11" s="1"/>
  <c r="Y36" i="11"/>
  <c r="Z60" i="11"/>
  <c r="AA60" i="11" s="1"/>
  <c r="Y60" i="11"/>
  <c r="Z45" i="11"/>
  <c r="AA45" i="11" s="1"/>
  <c r="Y45" i="11"/>
  <c r="Z74" i="11"/>
  <c r="AA74" i="11" s="1"/>
  <c r="Y74" i="11"/>
  <c r="Z64" i="11"/>
  <c r="AA64" i="11" s="1"/>
  <c r="Y64" i="11"/>
  <c r="Z49" i="11"/>
  <c r="AA49" i="11" s="1"/>
  <c r="Y49" i="11"/>
  <c r="Z35" i="11"/>
  <c r="AA35" i="11" s="1"/>
  <c r="Y35" i="11"/>
  <c r="Z24" i="11"/>
  <c r="AA24" i="11" s="1"/>
  <c r="Y24" i="11"/>
  <c r="Z57" i="11"/>
  <c r="AA57" i="11" s="1"/>
  <c r="Y57" i="11"/>
  <c r="W59" i="11"/>
  <c r="V59" i="11"/>
  <c r="X59" i="11" s="1"/>
  <c r="V84" i="11"/>
  <c r="X84" i="11" s="1"/>
  <c r="AA11" i="11"/>
  <c r="Q59" i="11"/>
  <c r="H7" i="11" s="1"/>
  <c r="I7" i="11" s="1"/>
  <c r="J7" i="11" s="1"/>
  <c r="Y84" i="11" l="1"/>
  <c r="S95" i="11"/>
  <c r="Z30" i="11"/>
  <c r="Y30" i="11"/>
  <c r="Z59" i="11"/>
  <c r="AA59" i="11" s="1"/>
  <c r="Y59" i="11"/>
  <c r="S11" i="11"/>
  <c r="S96" i="11"/>
  <c r="M7" i="11" l="1"/>
  <c r="N7" i="11"/>
  <c r="P7" i="11"/>
  <c r="AA30" i="11"/>
  <c r="S5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tc={5CDDCE60-328C-438D-B325-33E9A22503EB}</author>
  </authors>
  <commentList>
    <comment ref="L95" authorId="0" shapeId="0" xr:uid="{5CDDCE60-328C-438D-B325-33E9A22503EB}">
      <text>
        <t>[Threaded comment]
Your version of Excel allows you to read this threaded comment; however, any edits to it will get removed if the file is opened in a newer version of Excel. Learn more: https://go.microsoft.com/fwlink/?linkid=870924
Comment:
    Funds placed on call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<sst xmlns="http://schemas.openxmlformats.org/spreadsheetml/2006/main" count="1035" uniqueCount="263">
  <si>
    <t xml:space="preserve">  Valuation</t>
  </si>
  <si>
    <t xml:space="preserve"> Date  Pfolio</t>
  </si>
  <si>
    <t xml:space="preserve"> Pfolio Name    </t>
  </si>
  <si>
    <t xml:space="preserve"> Security</t>
  </si>
  <si>
    <t xml:space="preserve"> Short Name          </t>
  </si>
  <si>
    <t xml:space="preserve"> Maturity Date</t>
  </si>
  <si>
    <t xml:space="preserve"> Issue Date</t>
  </si>
  <si>
    <t xml:space="preserve">    Coupon Rate</t>
  </si>
  <si>
    <t xml:space="preserve">   Parent Company Name </t>
  </si>
  <si>
    <t xml:space="preserve">       Total Cost (</t>
  </si>
  <si>
    <t xml:space="preserve">Base) Total Value </t>
  </si>
  <si>
    <t>Rate %</t>
  </si>
  <si>
    <t>Classification</t>
  </si>
  <si>
    <t xml:space="preserve">FMLPF </t>
  </si>
  <si>
    <t>First Mutual Li</t>
  </si>
  <si>
    <t>CA023042</t>
  </si>
  <si>
    <t>CA023042 Mortgage Ba</t>
  </si>
  <si>
    <t xml:space="preserve">CABS Bank           </t>
  </si>
  <si>
    <t>ZWG MM</t>
  </si>
  <si>
    <t xml:space="preserve">NACPF </t>
  </si>
  <si>
    <t>National Aids C</t>
  </si>
  <si>
    <t>CA023043</t>
  </si>
  <si>
    <t>CA023043 Mortgage Ba</t>
  </si>
  <si>
    <t>NATFDS</t>
  </si>
  <si>
    <t xml:space="preserve">National Foods </t>
  </si>
  <si>
    <t>CA023046</t>
  </si>
  <si>
    <t>CA023046 Mortgage Ba</t>
  </si>
  <si>
    <t>OMLACI</t>
  </si>
  <si>
    <t>OMLAC Insurance</t>
  </si>
  <si>
    <t>af022081</t>
  </si>
  <si>
    <t>af022081 100125 11.9</t>
  </si>
  <si>
    <t xml:space="preserve">Agric Finance Corp  </t>
  </si>
  <si>
    <t>AMTEPF</t>
  </si>
  <si>
    <t>Amtec Pension F</t>
  </si>
  <si>
    <t>NB022011</t>
  </si>
  <si>
    <t>NB022011 230425 12%</t>
  </si>
  <si>
    <t>National Building So</t>
  </si>
  <si>
    <t>US$ MM</t>
  </si>
  <si>
    <t>BATPF</t>
  </si>
  <si>
    <t>BAT Pension Fun</t>
  </si>
  <si>
    <t>AB022003</t>
  </si>
  <si>
    <t>AB022003 120225 10%</t>
  </si>
  <si>
    <t>ABC ATLAS MARA</t>
  </si>
  <si>
    <t>CREDC008</t>
  </si>
  <si>
    <t>CREDC008 120525 20%</t>
  </si>
  <si>
    <t>CREDITCONNECT</t>
  </si>
  <si>
    <t>CAPS</t>
  </si>
  <si>
    <t>Caps Pension Fu</t>
  </si>
  <si>
    <t>CHINEM</t>
  </si>
  <si>
    <t>MR A G CHINEMBI</t>
  </si>
  <si>
    <t>COCAPF</t>
  </si>
  <si>
    <t>Coca-Cola Pensi</t>
  </si>
  <si>
    <t>MARKLF</t>
  </si>
  <si>
    <t>Market Linked F</t>
  </si>
  <si>
    <t>AF022064</t>
  </si>
  <si>
    <t>AF022064 270125 14.5</t>
  </si>
  <si>
    <t>Agric Finance Corp</t>
  </si>
  <si>
    <t>ST022061</t>
  </si>
  <si>
    <t>ST022061 200125 12%</t>
  </si>
  <si>
    <t>STEWARD BANK</t>
  </si>
  <si>
    <t>ST022071</t>
  </si>
  <si>
    <t>ST022071 170125 9%</t>
  </si>
  <si>
    <t>ZB022453</t>
  </si>
  <si>
    <t>ZB022453 160525 10%</t>
  </si>
  <si>
    <t>ZB BANK</t>
  </si>
  <si>
    <t>MULTMP</t>
  </si>
  <si>
    <t>Multimanagers F</t>
  </si>
  <si>
    <t>FCB00025</t>
  </si>
  <si>
    <t>FCB00025 170325 10%</t>
  </si>
  <si>
    <t>First Capital Bank</t>
  </si>
  <si>
    <t>NACPFS</t>
  </si>
  <si>
    <t>NAC Pension Fun</t>
  </si>
  <si>
    <t>FCB00022</t>
  </si>
  <si>
    <t>FCB00022 280525 12%</t>
  </si>
  <si>
    <t>NUSTPF</t>
  </si>
  <si>
    <t>NUST Pension Fu</t>
  </si>
  <si>
    <t>OMGSPF</t>
  </si>
  <si>
    <t>Old Mutual Gro</t>
  </si>
  <si>
    <t>AXIA130</t>
  </si>
  <si>
    <t>AXIA130 241225 12%</t>
  </si>
  <si>
    <t>AXIA</t>
  </si>
  <si>
    <t>IRVN063</t>
  </si>
  <si>
    <t>IRVN063 191225 15%</t>
  </si>
  <si>
    <t>IRVINES</t>
  </si>
  <si>
    <t>AF022067</t>
  </si>
  <si>
    <t>AF022067 030225 8%</t>
  </si>
  <si>
    <t>OMFIN74</t>
  </si>
  <si>
    <t>OMFIN74 140425 12%</t>
  </si>
  <si>
    <t>OMFIN</t>
  </si>
  <si>
    <t>OMFIN75</t>
  </si>
  <si>
    <t>OMFIN75 061125 12%</t>
  </si>
  <si>
    <t>OMFIN78</t>
  </si>
  <si>
    <t>OMFIN78 041225 20%</t>
  </si>
  <si>
    <t>OMFIN80</t>
  </si>
  <si>
    <t>OMFIN80 100325 11%</t>
  </si>
  <si>
    <t>OMLACM</t>
  </si>
  <si>
    <t>OMLAC Main Fund</t>
  </si>
  <si>
    <t>AXIA0128</t>
  </si>
  <si>
    <t>AXIA0128 240225 11%</t>
  </si>
  <si>
    <t>FCB00024</t>
  </si>
  <si>
    <t>FCB00024 100125 10%</t>
  </si>
  <si>
    <t>OMREF</t>
  </si>
  <si>
    <t>Old Mutual Reti</t>
  </si>
  <si>
    <t>PETRA</t>
  </si>
  <si>
    <t>PETRA SCHOOL PE</t>
  </si>
  <si>
    <t>QUALIP</t>
  </si>
  <si>
    <t>Quality Insuran</t>
  </si>
  <si>
    <t>SPVARI</t>
  </si>
  <si>
    <t>Special Funds O</t>
  </si>
  <si>
    <t>AF022076</t>
  </si>
  <si>
    <t>AF022076 060125 10%</t>
  </si>
  <si>
    <t>AXIA0126</t>
  </si>
  <si>
    <t>AXIA0126 130125 12%</t>
  </si>
  <si>
    <t>CREDC004</t>
  </si>
  <si>
    <t>CREDC004 060125 15%</t>
  </si>
  <si>
    <t>CREDC005</t>
  </si>
  <si>
    <t>CREDC005 210725 20%</t>
  </si>
  <si>
    <t>CREDC010</t>
  </si>
  <si>
    <t>CREDC010 160625 15%</t>
  </si>
  <si>
    <t>NB022002</t>
  </si>
  <si>
    <t>NB022002 250325 12%</t>
  </si>
  <si>
    <t>NB022007</t>
  </si>
  <si>
    <t>NB022007 080425 12%</t>
  </si>
  <si>
    <t>OMFIN76</t>
  </si>
  <si>
    <t>OMFIN76 270525 15%</t>
  </si>
  <si>
    <t>OMFIN79</t>
  </si>
  <si>
    <t>OMFIN79 090625 15%</t>
  </si>
  <si>
    <t>OMFIN81</t>
  </si>
  <si>
    <t>OMFIN81 291225 20%</t>
  </si>
  <si>
    <t>REDSF086</t>
  </si>
  <si>
    <t>REDSF086 240325 16%</t>
  </si>
  <si>
    <t>Red Sphere Finance</t>
  </si>
  <si>
    <t>ST022067</t>
  </si>
  <si>
    <t>ST022067 060125 10%</t>
  </si>
  <si>
    <t>ST022068</t>
  </si>
  <si>
    <t>ST022068 020625 12%</t>
  </si>
  <si>
    <t>ST022070</t>
  </si>
  <si>
    <t>ST022070 160625 12%</t>
  </si>
  <si>
    <t>SPVMUL</t>
  </si>
  <si>
    <t>SPV Multimanage</t>
  </si>
  <si>
    <t>TREGER</t>
  </si>
  <si>
    <t>Treger Group Pe</t>
  </si>
  <si>
    <t>TSLPF</t>
  </si>
  <si>
    <t>TSL Pension Fun</t>
  </si>
  <si>
    <t>UNIFMP</t>
  </si>
  <si>
    <t>Unifreight Mone</t>
  </si>
  <si>
    <t>WATRSH</t>
  </si>
  <si>
    <t>WATERSHED COLLE</t>
  </si>
  <si>
    <t>ST022066</t>
  </si>
  <si>
    <t>ST022066 240225 9%</t>
  </si>
  <si>
    <t>WORLDV</t>
  </si>
  <si>
    <t>World Vision Pe</t>
  </si>
  <si>
    <t>CA023076</t>
  </si>
  <si>
    <t>CA023076 210125 5%</t>
  </si>
  <si>
    <t>CABS Bank</t>
  </si>
  <si>
    <t>ZIMPPF</t>
  </si>
  <si>
    <t>ZIMPLATS Pensio</t>
  </si>
  <si>
    <t>CA023015</t>
  </si>
  <si>
    <t>CA023015 130125 7%</t>
  </si>
  <si>
    <t>CA023056</t>
  </si>
  <si>
    <t>CA023056 160125 5%</t>
  </si>
  <si>
    <t>CA023058</t>
  </si>
  <si>
    <t>CA023058 080125 5%</t>
  </si>
  <si>
    <t>CA023068</t>
  </si>
  <si>
    <t>CA023068 070125 5%</t>
  </si>
  <si>
    <t>CA023069</t>
  </si>
  <si>
    <t>CA023069 090125 5%</t>
  </si>
  <si>
    <t>CA023072</t>
  </si>
  <si>
    <t>CA023072 150125 5%</t>
  </si>
  <si>
    <t>CA023079</t>
  </si>
  <si>
    <t>CA023079 220125 5%</t>
  </si>
  <si>
    <t>CA023080</t>
  </si>
  <si>
    <t>CA023080 300125 5%</t>
  </si>
  <si>
    <t>untu36</t>
  </si>
  <si>
    <t>untu36 210125 12%</t>
  </si>
  <si>
    <t>UNTU Capital</t>
  </si>
  <si>
    <t>US$ Bond</t>
  </si>
  <si>
    <t>AFC0012</t>
  </si>
  <si>
    <t>AFC0012 210425 10%</t>
  </si>
  <si>
    <t>AFC</t>
  </si>
  <si>
    <t>Term (D)</t>
  </si>
  <si>
    <t>Term(Y)</t>
  </si>
  <si>
    <t>Yield</t>
  </si>
  <si>
    <t>NSS</t>
  </si>
  <si>
    <t>Inputs</t>
  </si>
  <si>
    <t>Values</t>
  </si>
  <si>
    <t>B0</t>
  </si>
  <si>
    <t>B1</t>
  </si>
  <si>
    <t>B2</t>
  </si>
  <si>
    <t>B3</t>
  </si>
  <si>
    <t>T1</t>
  </si>
  <si>
    <t>T2</t>
  </si>
  <si>
    <t>Tenor</t>
  </si>
  <si>
    <t>Rate (%)</t>
  </si>
  <si>
    <t>30 days</t>
  </si>
  <si>
    <t>60 days</t>
  </si>
  <si>
    <t>90 days</t>
  </si>
  <si>
    <t>180 days</t>
  </si>
  <si>
    <t>270 days</t>
  </si>
  <si>
    <t>365 days</t>
  </si>
  <si>
    <t>Fund Name</t>
  </si>
  <si>
    <t>Portfolio</t>
  </si>
  <si>
    <t>Short Name</t>
  </si>
  <si>
    <t>Maturity Date</t>
  </si>
  <si>
    <t>Issue Date</t>
  </si>
  <si>
    <t>Rate</t>
  </si>
  <si>
    <t>Tenure</t>
  </si>
  <si>
    <t>Days to Maturity</t>
  </si>
  <si>
    <t>Years to Maturity</t>
  </si>
  <si>
    <t>Discount Rate</t>
  </si>
  <si>
    <t>Nominal</t>
  </si>
  <si>
    <t>Carrying Value</t>
  </si>
  <si>
    <t>Maturity Value</t>
  </si>
  <si>
    <t>Present Value</t>
  </si>
  <si>
    <t>Impairment ZWG$</t>
  </si>
  <si>
    <t>Impairment US$</t>
  </si>
  <si>
    <t>Counterparty</t>
  </si>
  <si>
    <t>Base Information</t>
  </si>
  <si>
    <t>Client</t>
  </si>
  <si>
    <t>Dura Capital</t>
  </si>
  <si>
    <t>Impairment Difference (US$)</t>
  </si>
  <si>
    <t>WAM</t>
  </si>
  <si>
    <t>Weighted Rate</t>
  </si>
  <si>
    <t>Total Nominal</t>
  </si>
  <si>
    <t>Total Carrying Value</t>
  </si>
  <si>
    <t>Total Maturity Value</t>
  </si>
  <si>
    <t>Weighted Discount Rate</t>
  </si>
  <si>
    <t>Total Present Value</t>
  </si>
  <si>
    <t>Total Impairment (US$)</t>
  </si>
  <si>
    <t>Total Impairment ZWL$</t>
  </si>
  <si>
    <t xml:space="preserve">Value </t>
  </si>
  <si>
    <t>Percentage</t>
  </si>
  <si>
    <t>OMLA Analytics</t>
  </si>
  <si>
    <t>Dura Capital Analytics</t>
  </si>
  <si>
    <t>Valuation date</t>
  </si>
  <si>
    <t>Impairment (US$)</t>
  </si>
  <si>
    <t>Impairment ZWL$</t>
  </si>
  <si>
    <t>NSS rates</t>
  </si>
  <si>
    <t>Discount rates</t>
  </si>
  <si>
    <t>Time value</t>
  </si>
  <si>
    <t>Time value impairment</t>
  </si>
  <si>
    <t>Credit Impairment</t>
  </si>
  <si>
    <t>total Impairment (US$)</t>
  </si>
  <si>
    <t>total Impairment ZWL$</t>
  </si>
  <si>
    <t>Calculation settings:</t>
  </si>
  <si>
    <t>Country Risk Premium</t>
  </si>
  <si>
    <t>ZWG/US$ (Auction Rate)</t>
  </si>
  <si>
    <t>30 days US TB yield</t>
  </si>
  <si>
    <t>120 days</t>
  </si>
  <si>
    <t>latest market quotes</t>
  </si>
  <si>
    <t>afc</t>
  </si>
  <si>
    <t>bancabc</t>
  </si>
  <si>
    <t>fcb</t>
  </si>
  <si>
    <t>ac</t>
  </si>
  <si>
    <t>zb</t>
  </si>
  <si>
    <t>Rate - %- ZIG</t>
  </si>
  <si>
    <t xml:space="preserve">UNTU33  </t>
  </si>
  <si>
    <t xml:space="preserve">UNTU33 160824 13%   </t>
  </si>
  <si>
    <t xml:space="preserve">UNTU CAP            </t>
  </si>
  <si>
    <t>US$ CP</t>
  </si>
  <si>
    <t xml:space="preserve">UNTU36  </t>
  </si>
  <si>
    <t xml:space="preserve">UNTU36 210125 12%  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</si>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</sst>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[$-3009]dd\-mmm\-yy;@"/>
    <numFmt numFmtId="167" formatCode="_-* #,##0_-;\-* #,##0_-;_-* &quot;-&quot;??_-;_-@_-"/>
    <numFmt numFmtId="168" formatCode="0.0%"/>
    <numFmt numFmtId="169" formatCode="0.0"/>
    <numFmt numFmtId="170" formatCode="0.000"/>
    <numFmt numFmtId="171" formatCode="0.0000%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entury Gothic"/>
      <family val="2"/>
    </font>
    <font>
      <b/>
      <sz val="11"/>
      <name val="Century Gothic"/>
      <family val="2"/>
    </font>
    <font>
      <sz val="10"/>
      <name val="Arial"/>
      <family val="2"/>
    </font>
    <font>
      <sz val="9"/>
      <color rgb="FF3F3F76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thin">
        <color theme="0"/>
      </bottom>
      <diagonal/>
    </border>
    <border>
      <left/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0"/>
      </left>
      <right/>
      <top style="medium">
        <color theme="1"/>
      </top>
      <bottom style="thin">
        <color theme="0"/>
      </bottom>
      <diagonal/>
    </border>
    <border>
      <left/>
      <right/>
      <top style="medium">
        <color theme="1"/>
      </top>
      <bottom style="thin">
        <color theme="0"/>
      </bottom>
      <diagonal/>
    </border>
    <border>
      <left/>
      <right style="thin">
        <color theme="0"/>
      </right>
      <top style="medium">
        <color theme="1"/>
      </top>
      <bottom style="thin">
        <color theme="0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5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20" fillId="0" borderId="0"/>
    <xf numFmtId="0" fontId="21" fillId="34" borderId="11">
      <alignment horizontal="center" vertical="center"/>
    </xf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</cellStyleXfs>
  <cellXfs count="138">
    <xf numFmtId="0" fontId="0" fillId="0" borderId="0" xfId="0"/>
    <xf numFmtId="43" fontId="16" fillId="0" borderId="0" xfId="1" applyFont="1"/>
    <xf numFmtId="43" fontId="0" fillId="0" borderId="0" xfId="1" applyFont="1"/>
    <xf numFmtId="166" fontId="0" fillId="0" borderId="0" xfId="0" applyNumberFormat="1"/>
    <xf numFmtId="43" fontId="18" fillId="33" borderId="10" xfId="1" applyFont="1" applyFill="1" applyBorder="1"/>
    <xf numFmtId="0" fontId="19" fillId="33" borderId="10" xfId="0" applyFont="1" applyFill="1" applyBorder="1"/>
    <xf numFmtId="167" fontId="0" fillId="0" borderId="0" xfId="1" applyNumberFormat="1" applyFont="1"/>
    <xf numFmtId="43" fontId="0" fillId="0" borderId="0" xfId="1" applyFont="1" applyFill="1"/>
    <xf numFmtId="0" fontId="1" fillId="0" borderId="0" xfId="46"/>
    <xf numFmtId="168" fontId="0" fillId="0" borderId="0" xfId="43" applyNumberFormat="1" applyFont="1"/>
    <xf numFmtId="168" fontId="0" fillId="0" borderId="0" xfId="43" applyNumberFormat="1" applyFont="1" applyFill="1"/>
    <xf numFmtId="2" fontId="0" fillId="0" borderId="0" xfId="0" applyNumberFormat="1"/>
    <xf numFmtId="168" fontId="18" fillId="33" borderId="10" xfId="43" applyNumberFormat="1" applyFont="1" applyFill="1" applyBorder="1"/>
    <xf numFmtId="0" fontId="0" fillId="0" borderId="10" xfId="0" applyBorder="1"/>
    <xf numFmtId="15" fontId="0" fillId="0" borderId="10" xfId="0" applyNumberFormat="1" applyBorder="1"/>
    <xf numFmtId="10" fontId="1" fillId="0" borderId="10" xfId="46" applyNumberFormat="1" applyBorder="1"/>
    <xf numFmtId="0" fontId="0" fillId="0" borderId="10" xfId="0" applyBorder="1" applyAlignment="1">
      <alignment horizontal="right"/>
    </xf>
    <xf numFmtId="168" fontId="0" fillId="0" borderId="10" xfId="43" applyNumberFormat="1" applyFont="1" applyBorder="1"/>
    <xf numFmtId="14" fontId="0" fillId="0" borderId="0" xfId="0" applyNumberFormat="1"/>
    <xf numFmtId="15" fontId="16" fillId="0" borderId="10" xfId="0" applyNumberFormat="1" applyFont="1" applyBorder="1" applyAlignment="1">
      <alignment horizontal="left"/>
    </xf>
    <xf numFmtId="0" fontId="22" fillId="0" borderId="0" xfId="0" applyFont="1"/>
    <xf numFmtId="2" fontId="22" fillId="0" borderId="0" xfId="0" applyNumberFormat="1" applyFont="1"/>
    <xf numFmtId="10" fontId="22" fillId="0" borderId="0" xfId="43" applyNumberFormat="1" applyFont="1" applyFill="1"/>
    <xf numFmtId="43" fontId="22" fillId="0" borderId="0" xfId="1" applyFont="1"/>
    <xf numFmtId="43" fontId="22" fillId="0" borderId="0" xfId="1" applyFont="1" applyFill="1"/>
    <xf numFmtId="165" fontId="22" fillId="0" borderId="0" xfId="0" applyNumberFormat="1" applyFont="1"/>
    <xf numFmtId="15" fontId="0" fillId="0" borderId="0" xfId="0" applyNumberFormat="1"/>
    <xf numFmtId="43" fontId="0" fillId="0" borderId="0" xfId="0" applyNumberFormat="1"/>
    <xf numFmtId="0" fontId="1" fillId="0" borderId="0" xfId="51"/>
    <xf numFmtId="169" fontId="1" fillId="0" borderId="0" xfId="51" applyNumberFormat="1"/>
    <xf numFmtId="14" fontId="1" fillId="0" borderId="0" xfId="51" applyNumberFormat="1"/>
    <xf numFmtId="43" fontId="1" fillId="0" borderId="0" xfId="1" applyFont="1" applyFill="1"/>
    <xf numFmtId="168" fontId="0" fillId="0" borderId="10" xfId="43" applyNumberFormat="1" applyFont="1" applyFill="1" applyBorder="1"/>
    <xf numFmtId="0" fontId="22" fillId="0" borderId="0" xfId="52" applyFont="1"/>
    <xf numFmtId="14" fontId="22" fillId="0" borderId="0" xfId="0" applyNumberFormat="1" applyFont="1"/>
    <xf numFmtId="168" fontId="22" fillId="0" borderId="0" xfId="43" applyNumberFormat="1" applyFont="1"/>
    <xf numFmtId="167" fontId="22" fillId="0" borderId="0" xfId="1" applyNumberFormat="1" applyFont="1"/>
    <xf numFmtId="4" fontId="22" fillId="0" borderId="0" xfId="0" applyNumberFormat="1" applyFont="1"/>
    <xf numFmtId="0" fontId="22" fillId="0" borderId="0" xfId="51" applyFont="1"/>
    <xf numFmtId="168" fontId="22" fillId="0" borderId="0" xfId="43" applyNumberFormat="1" applyFont="1" applyFill="1"/>
    <xf numFmtId="14" fontId="22" fillId="0" borderId="0" xfId="52" applyNumberFormat="1" applyFont="1"/>
    <xf numFmtId="169" fontId="22" fillId="0" borderId="0" xfId="52" applyNumberFormat="1" applyFont="1"/>
    <xf numFmtId="15" fontId="22" fillId="0" borderId="0" xfId="0" applyNumberFormat="1" applyFont="1"/>
    <xf numFmtId="10" fontId="22" fillId="0" borderId="0" xfId="0" applyNumberFormat="1" applyFont="1"/>
    <xf numFmtId="168" fontId="0" fillId="0" borderId="0" xfId="1" applyNumberFormat="1" applyFont="1" applyFill="1"/>
    <xf numFmtId="0" fontId="16" fillId="0" borderId="10" xfId="0" applyFont="1" applyBorder="1"/>
    <xf numFmtId="0" fontId="24" fillId="0" borderId="10" xfId="0" applyFont="1" applyBorder="1"/>
    <xf numFmtId="170" fontId="1" fillId="0" borderId="10" xfId="46" applyNumberFormat="1" applyBorder="1"/>
    <xf numFmtId="1" fontId="1" fillId="0" borderId="10" xfId="46" applyNumberFormat="1" applyBorder="1"/>
    <xf numFmtId="171" fontId="0" fillId="0" borderId="10" xfId="43" applyNumberFormat="1" applyFont="1" applyBorder="1"/>
    <xf numFmtId="171" fontId="0" fillId="0" borderId="0" xfId="43" applyNumberFormat="1" applyFont="1" applyBorder="1"/>
    <xf numFmtId="2" fontId="25" fillId="0" borderId="10" xfId="0" applyNumberFormat="1" applyFont="1" applyBorder="1"/>
    <xf numFmtId="0" fontId="0" fillId="35" borderId="0" xfId="0" applyFill="1"/>
    <xf numFmtId="168" fontId="0" fillId="35" borderId="0" xfId="43" applyNumberFormat="1" applyFont="1" applyFill="1"/>
    <xf numFmtId="168" fontId="0" fillId="35" borderId="0" xfId="43" applyNumberFormat="1" applyFont="1" applyFill="1" applyBorder="1"/>
    <xf numFmtId="0" fontId="1" fillId="35" borderId="10" xfId="46" applyFill="1" applyBorder="1"/>
    <xf numFmtId="10" fontId="1" fillId="35" borderId="10" xfId="46" applyNumberFormat="1" applyFill="1" applyBorder="1"/>
    <xf numFmtId="15" fontId="0" fillId="35" borderId="10" xfId="0" applyNumberFormat="1" applyFill="1" applyBorder="1"/>
    <xf numFmtId="0" fontId="0" fillId="35" borderId="10" xfId="0" applyFill="1" applyBorder="1"/>
    <xf numFmtId="43" fontId="18" fillId="35" borderId="0" xfId="1" applyFont="1" applyFill="1" applyBorder="1"/>
    <xf numFmtId="0" fontId="22" fillId="35" borderId="0" xfId="0" applyFont="1" applyFill="1"/>
    <xf numFmtId="165" fontId="22" fillId="35" borderId="0" xfId="0" applyNumberFormat="1" applyFont="1" applyFill="1"/>
    <xf numFmtId="165" fontId="16" fillId="35" borderId="0" xfId="0" applyNumberFormat="1" applyFont="1" applyFill="1"/>
    <xf numFmtId="165" fontId="23" fillId="35" borderId="0" xfId="0" applyNumberFormat="1" applyFont="1" applyFill="1"/>
    <xf numFmtId="0" fontId="27" fillId="35" borderId="0" xfId="0" applyFont="1" applyFill="1"/>
    <xf numFmtId="14" fontId="0" fillId="35" borderId="0" xfId="0" applyNumberFormat="1" applyFill="1"/>
    <xf numFmtId="167" fontId="22" fillId="35" borderId="0" xfId="1" applyNumberFormat="1" applyFont="1" applyFill="1" applyBorder="1"/>
    <xf numFmtId="2" fontId="22" fillId="35" borderId="0" xfId="0" applyNumberFormat="1" applyFont="1" applyFill="1"/>
    <xf numFmtId="43" fontId="22" fillId="35" borderId="0" xfId="1" applyFont="1" applyFill="1" applyBorder="1"/>
    <xf numFmtId="10" fontId="22" fillId="35" borderId="0" xfId="43" applyNumberFormat="1" applyFont="1" applyFill="1" applyBorder="1"/>
    <xf numFmtId="0" fontId="22" fillId="35" borderId="0" xfId="52" applyFont="1" applyFill="1"/>
    <xf numFmtId="43" fontId="0" fillId="35" borderId="0" xfId="1" applyFont="1" applyFill="1" applyBorder="1"/>
    <xf numFmtId="43" fontId="18" fillId="36" borderId="0" xfId="1" applyFont="1" applyFill="1" applyBorder="1"/>
    <xf numFmtId="168" fontId="18" fillId="36" borderId="0" xfId="43" applyNumberFormat="1" applyFont="1" applyFill="1" applyBorder="1" applyAlignment="1">
      <alignment horizontal="right"/>
    </xf>
    <xf numFmtId="43" fontId="18" fillId="36" borderId="0" xfId="1" applyFont="1" applyFill="1" applyBorder="1" applyAlignment="1">
      <alignment horizontal="left"/>
    </xf>
    <xf numFmtId="43" fontId="18" fillId="37" borderId="0" xfId="1" applyFont="1" applyFill="1" applyBorder="1"/>
    <xf numFmtId="43" fontId="18" fillId="38" borderId="0" xfId="1" applyFont="1" applyFill="1" applyBorder="1"/>
    <xf numFmtId="43" fontId="18" fillId="36" borderId="12" xfId="1" applyFont="1" applyFill="1" applyBorder="1" applyAlignment="1">
      <alignment horizontal="center"/>
    </xf>
    <xf numFmtId="43" fontId="18" fillId="36" borderId="12" xfId="1" applyFont="1" applyFill="1" applyBorder="1"/>
    <xf numFmtId="168" fontId="18" fillId="36" borderId="12" xfId="43" applyNumberFormat="1" applyFont="1" applyFill="1" applyBorder="1" applyAlignment="1">
      <alignment horizontal="right"/>
    </xf>
    <xf numFmtId="43" fontId="18" fillId="36" borderId="12" xfId="1" applyFont="1" applyFill="1" applyBorder="1" applyAlignment="1">
      <alignment horizontal="left"/>
    </xf>
    <xf numFmtId="43" fontId="18" fillId="37" borderId="12" xfId="1" applyFont="1" applyFill="1" applyBorder="1"/>
    <xf numFmtId="43" fontId="18" fillId="38" borderId="12" xfId="1" applyFont="1" applyFill="1" applyBorder="1"/>
    <xf numFmtId="168" fontId="18" fillId="37" borderId="13" xfId="43" applyNumberFormat="1" applyFont="1" applyFill="1" applyBorder="1"/>
    <xf numFmtId="43" fontId="18" fillId="37" borderId="14" xfId="1" applyFont="1" applyFill="1" applyBorder="1"/>
    <xf numFmtId="43" fontId="18" fillId="38" borderId="13" xfId="1" applyFont="1" applyFill="1" applyBorder="1"/>
    <xf numFmtId="43" fontId="18" fillId="36" borderId="19" xfId="1" applyFont="1" applyFill="1" applyBorder="1"/>
    <xf numFmtId="43" fontId="18" fillId="38" borderId="20" xfId="1" applyFont="1" applyFill="1" applyBorder="1"/>
    <xf numFmtId="43" fontId="18" fillId="36" borderId="21" xfId="1" applyFont="1" applyFill="1" applyBorder="1"/>
    <xf numFmtId="0" fontId="22" fillId="35" borderId="21" xfId="0" applyFont="1" applyFill="1" applyBorder="1"/>
    <xf numFmtId="165" fontId="22" fillId="35" borderId="22" xfId="0" applyNumberFormat="1" applyFont="1" applyFill="1" applyBorder="1"/>
    <xf numFmtId="0" fontId="0" fillId="35" borderId="21" xfId="0" applyFill="1" applyBorder="1"/>
    <xf numFmtId="168" fontId="0" fillId="35" borderId="24" xfId="43" applyNumberFormat="1" applyFont="1" applyFill="1" applyBorder="1"/>
    <xf numFmtId="2" fontId="22" fillId="35" borderId="23" xfId="0" applyNumberFormat="1" applyFont="1" applyFill="1" applyBorder="1"/>
    <xf numFmtId="164" fontId="22" fillId="35" borderId="24" xfId="53" applyFont="1" applyFill="1" applyBorder="1"/>
    <xf numFmtId="0" fontId="28" fillId="0" borderId="0" xfId="0" applyFont="1"/>
    <xf numFmtId="168" fontId="18" fillId="38" borderId="0" xfId="43" applyNumberFormat="1" applyFont="1" applyFill="1" applyBorder="1"/>
    <xf numFmtId="43" fontId="18" fillId="39" borderId="0" xfId="1" applyFont="1" applyFill="1" applyBorder="1"/>
    <xf numFmtId="43" fontId="18" fillId="39" borderId="22" xfId="1" applyFont="1" applyFill="1" applyBorder="1"/>
    <xf numFmtId="10" fontId="0" fillId="35" borderId="24" xfId="43" applyNumberFormat="1" applyFont="1" applyFill="1" applyBorder="1"/>
    <xf numFmtId="168" fontId="0" fillId="35" borderId="25" xfId="43" applyNumberFormat="1" applyFont="1" applyFill="1" applyBorder="1"/>
    <xf numFmtId="164" fontId="0" fillId="35" borderId="24" xfId="53" applyFont="1" applyFill="1" applyBorder="1"/>
    <xf numFmtId="168" fontId="18" fillId="37" borderId="21" xfId="43" applyNumberFormat="1" applyFont="1" applyFill="1" applyBorder="1"/>
    <xf numFmtId="10" fontId="22" fillId="35" borderId="23" xfId="43" applyNumberFormat="1" applyFont="1" applyFill="1" applyBorder="1"/>
    <xf numFmtId="167" fontId="22" fillId="0" borderId="0" xfId="1" applyNumberFormat="1" applyFont="1" applyFill="1" applyBorder="1"/>
    <xf numFmtId="10" fontId="22" fillId="0" borderId="0" xfId="43" applyNumberFormat="1" applyFont="1" applyFill="1" applyBorder="1"/>
    <xf numFmtId="168" fontId="0" fillId="0" borderId="0" xfId="43" applyNumberFormat="1" applyFont="1" applyFill="1" applyBorder="1"/>
    <xf numFmtId="43" fontId="22" fillId="0" borderId="0" xfId="1" applyFont="1" applyFill="1" applyBorder="1"/>
    <xf numFmtId="0" fontId="22" fillId="0" borderId="29" xfId="0" applyFont="1" applyBorder="1"/>
    <xf numFmtId="0" fontId="22" fillId="0" borderId="30" xfId="0" applyFont="1" applyBorder="1"/>
    <xf numFmtId="0" fontId="0" fillId="0" borderId="30" xfId="0" applyBorder="1"/>
    <xf numFmtId="14" fontId="0" fillId="0" borderId="30" xfId="0" applyNumberFormat="1" applyBorder="1"/>
    <xf numFmtId="167" fontId="22" fillId="0" borderId="30" xfId="1" applyNumberFormat="1" applyFont="1" applyFill="1" applyBorder="1"/>
    <xf numFmtId="2" fontId="22" fillId="0" borderId="30" xfId="0" applyNumberFormat="1" applyFont="1" applyBorder="1"/>
    <xf numFmtId="168" fontId="0" fillId="0" borderId="30" xfId="43" applyNumberFormat="1" applyFont="1" applyFill="1" applyBorder="1"/>
    <xf numFmtId="43" fontId="22" fillId="0" borderId="30" xfId="1" applyFont="1" applyFill="1" applyBorder="1"/>
    <xf numFmtId="10" fontId="22" fillId="0" borderId="30" xfId="43" applyNumberFormat="1" applyFont="1" applyFill="1" applyBorder="1"/>
    <xf numFmtId="165" fontId="22" fillId="0" borderId="30" xfId="0" applyNumberFormat="1" applyFont="1" applyBorder="1"/>
    <xf numFmtId="165" fontId="22" fillId="0" borderId="31" xfId="0" applyNumberFormat="1" applyFont="1" applyBorder="1"/>
    <xf numFmtId="0" fontId="22" fillId="0" borderId="21" xfId="0" applyFont="1" applyBorder="1"/>
    <xf numFmtId="165" fontId="22" fillId="0" borderId="22" xfId="0" applyNumberFormat="1" applyFont="1" applyBorder="1"/>
    <xf numFmtId="165" fontId="22" fillId="35" borderId="30" xfId="0" applyNumberFormat="1" applyFont="1" applyFill="1" applyBorder="1"/>
    <xf numFmtId="43" fontId="0" fillId="35" borderId="0" xfId="0" applyNumberFormat="1" applyFill="1"/>
    <xf numFmtId="168" fontId="18" fillId="37" borderId="26" xfId="43" applyNumberFormat="1" applyFont="1" applyFill="1" applyBorder="1" applyAlignment="1">
      <alignment horizontal="center"/>
    </xf>
    <xf numFmtId="168" fontId="18" fillId="37" borderId="27" xfId="43" applyNumberFormat="1" applyFont="1" applyFill="1" applyBorder="1" applyAlignment="1">
      <alignment horizontal="center"/>
    </xf>
    <xf numFmtId="168" fontId="18" fillId="37" borderId="28" xfId="43" applyNumberFormat="1" applyFont="1" applyFill="1" applyBorder="1" applyAlignment="1">
      <alignment horizontal="center"/>
    </xf>
    <xf numFmtId="43" fontId="18" fillId="36" borderId="15" xfId="1" applyFont="1" applyFill="1" applyBorder="1" applyAlignment="1">
      <alignment horizontal="center"/>
    </xf>
    <xf numFmtId="43" fontId="18" fillId="36" borderId="16" xfId="1" applyFont="1" applyFill="1" applyBorder="1" applyAlignment="1">
      <alignment horizontal="center"/>
    </xf>
    <xf numFmtId="43" fontId="18" fillId="38" borderId="17" xfId="1" applyFont="1" applyFill="1" applyBorder="1" applyAlignment="1">
      <alignment horizontal="center"/>
    </xf>
    <xf numFmtId="43" fontId="18" fillId="38" borderId="16" xfId="1" applyFont="1" applyFill="1" applyBorder="1" applyAlignment="1">
      <alignment horizontal="center"/>
    </xf>
    <xf numFmtId="43" fontId="18" fillId="38" borderId="18" xfId="1" applyFont="1" applyFill="1" applyBorder="1" applyAlignment="1">
      <alignment horizontal="center"/>
    </xf>
    <xf numFmtId="168" fontId="18" fillId="36" borderId="15" xfId="43" applyNumberFormat="1" applyFont="1" applyFill="1" applyBorder="1" applyAlignment="1">
      <alignment horizontal="center"/>
    </xf>
    <xf numFmtId="168" fontId="18" fillId="36" borderId="16" xfId="43" applyNumberFormat="1" applyFont="1" applyFill="1" applyBorder="1" applyAlignment="1">
      <alignment horizontal="center"/>
    </xf>
    <xf numFmtId="168" fontId="18" fillId="37" borderId="15" xfId="43" applyNumberFormat="1" applyFont="1" applyFill="1" applyBorder="1" applyAlignment="1">
      <alignment horizontal="center"/>
    </xf>
    <xf numFmtId="168" fontId="18" fillId="37" borderId="16" xfId="43" applyNumberFormat="1" applyFont="1" applyFill="1" applyBorder="1" applyAlignment="1">
      <alignment horizontal="center"/>
    </xf>
    <xf numFmtId="168" fontId="18" fillId="38" borderId="16" xfId="43" applyNumberFormat="1" applyFont="1" applyFill="1" applyBorder="1" applyAlignment="1">
      <alignment horizontal="center"/>
    </xf>
    <xf numFmtId="43" fontId="18" fillId="39" borderId="16" xfId="1" applyFont="1" applyFill="1" applyBorder="1" applyAlignment="1">
      <alignment horizontal="center"/>
    </xf>
    <xf numFmtId="43" fontId="18" fillId="39" borderId="18" xfId="1" applyFont="1" applyFill="1" applyBorder="1" applyAlignment="1">
      <alignment horizontal="center"/>
    </xf>
  </cellXfs>
  <cellStyles count="5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Comma 2" xfId="44" xr:uid="{6C8099F3-51E7-4B05-AB6E-7BE6C924A49A}"/>
    <cellStyle name="Comma 30" xfId="47" xr:uid="{A97276DF-8A85-4F67-B62F-71620BEDA270}"/>
    <cellStyle name="Currency" xfId="53" builtinId="4"/>
    <cellStyle name="Currency 2" xfId="45" xr:uid="{7CC344C2-D955-4CAF-8A28-C94B034F2A94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8" xr:uid="{3FC11049-B579-469A-B21B-715BB707BFEA}"/>
    <cellStyle name="Normal 42" xfId="46" xr:uid="{3DC09C28-3458-40FF-8517-EA14411E7B45}"/>
    <cellStyle name="Normal 61" xfId="50" xr:uid="{7AFB32D3-CEBC-4882-A548-64F961E1EC70}"/>
    <cellStyle name="Normal 73" xfId="51" xr:uid="{86A68084-B5F4-4CF2-9F37-66DC3DE2FE9F}"/>
    <cellStyle name="Normal 79" xfId="52" xr:uid="{205D5929-66B1-4E0B-B617-EB78FF643B0C}"/>
    <cellStyle name="Note" xfId="16" builtinId="10" customBuiltin="1"/>
    <cellStyle name="Output" xfId="11" builtinId="21" customBuiltin="1"/>
    <cellStyle name="Percent" xfId="43" builtinId="5"/>
    <cellStyle name="Text Snip" xfId="49" xr:uid="{77583985-AF45-4F24-BC9B-6EF5FDBD791D}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NSS!$C$2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NSS!$B$3:$B$8</c:f>
              <c:numCache>
                <c:formatCode>0.000</c:formatCode>
                <c:ptCount val="6"/>
                <c:pt idx="0">
                  <c:v>8.2191780821917804E-2</c:v>
                </c:pt>
                <c:pt idx="1">
                  <c:v>0.16438356164383561</c:v>
                </c:pt>
                <c:pt idx="2">
                  <c:v>0.24657534246575341</c:v>
                </c:pt>
                <c:pt idx="3">
                  <c:v>0.32876712328767121</c:v>
                </c:pt>
                <c:pt idx="4">
                  <c:v>0.49315068493150682</c:v>
                </c:pt>
                <c:pt idx="5">
                  <c:v>1</c:v>
                </c:pt>
              </c:numCache>
            </c:numRef>
          </c:xVal>
          <c:yVal>
            <c:numRef>
              <c:f>NSS!$C$3:$C$8</c:f>
              <c:numCache>
                <c:formatCode>0.00%</c:formatCode>
                <c:ptCount val="6"/>
                <c:pt idx="0">
                  <c:v>4.2200000000000001E-2</c:v>
                </c:pt>
                <c:pt idx="1">
                  <c:v>4.2000000000000003E-2</c:v>
                </c:pt>
                <c:pt idx="2">
                  <c:v>4.2299999999999997E-2</c:v>
                </c:pt>
                <c:pt idx="3">
                  <c:v>4.19E-2</c:v>
                </c:pt>
                <c:pt idx="4">
                  <c:v>4.1300000000000003E-2</c:v>
                </c:pt>
                <c:pt idx="5">
                  <c:v>3.9800000000000002E-2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C6-4E74-B1B9-A9501DDC9FD0}"/>
            </c:ext>
          </c:extLst>
        </c:ser>
        <c:ser>
          <c:idx val="1"/>
          <c:order val="1"/>
          <c:tx>
            <c:strRef>
              <c:f>NSS!$D$2</c:f>
              <c:strCache>
                <c:ptCount val="1"/>
                <c:pt idx="0">
                  <c:v>NSS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NSS!$B$3:$B$8</c:f>
              <c:numCache>
                <c:formatCode>0.000</c:formatCode>
                <c:ptCount val="6"/>
                <c:pt idx="0">
                  <c:v>8.2191780821917804E-2</c:v>
                </c:pt>
                <c:pt idx="1">
                  <c:v>0.16438356164383561</c:v>
                </c:pt>
                <c:pt idx="2">
                  <c:v>0.24657534246575341</c:v>
                </c:pt>
                <c:pt idx="3">
                  <c:v>0.32876712328767121</c:v>
                </c:pt>
                <c:pt idx="4">
                  <c:v>0.49315068493150682</c:v>
                </c:pt>
                <c:pt idx="5">
                  <c:v>1</c:v>
                </c:pt>
              </c:numCache>
            </c:numRef>
          </c:xVal>
          <c:yVal>
            <c:numRef>
              <c:f>NSS!$D$3:$D$8</c:f>
              <c:numCache>
                <c:formatCode>0.0000%</c:formatCode>
                <c:ptCount val="6"/>
                <c:pt idx="0">
                  <c:v>4.2131021257508415E-2</c:v>
                </c:pt>
                <c:pt idx="1">
                  <c:v>4.2203906145387979E-2</c:v>
                </c:pt>
                <c:pt idx="2">
                  <c:v>4.2122647710448685E-2</c:v>
                </c:pt>
                <c:pt idx="3">
                  <c:v>4.1925100514182773E-2</c:v>
                </c:pt>
                <c:pt idx="4">
                  <c:v>4.1317959466513177E-2</c:v>
                </c:pt>
                <c:pt idx="5">
                  <c:v>3.9798462203475438E-2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C6-4E74-B1B9-A9501DDC9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981615"/>
        <c:axId val="672044719"/>
      </c:scatterChart>
      <c:valAx>
        <c:axId val="1919981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44719"/>
        <c:crosses val="autoZero"/>
        <c:crossBetween val="midCat"/>
      </c:valAx>
      <c:valAx>
        <c:axId val="67204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981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486054</xdr:colOff>
      <xdr:row>0</xdr:row>
      <xdr:rowOff>0</xdr:rowOff>
    </xdr:from>
    <xdr:to>
      <xdr:col>15</xdr:col>
      <xdr:colOff>165482</xdr:colOff>
      <xdr:row>14</xdr:row>
      <xdr:rowOff>168012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0CFCE6-8E82-0C6B-9205-54B69E71C4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668504</xdr:colOff>
      <xdr:row>0</xdr:row>
      <xdr:rowOff>0</xdr:rowOff>
    </xdr:from>
    <xdr:to>
      <xdr:col>2</xdr:col>
      <xdr:colOff>609600</xdr:colOff>
      <xdr:row>3</xdr:row>
      <xdr:rowOff>155222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434533-9994-8503-0CA7-BE30A9D7E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504" y="0"/>
          <a:ext cx="2339985" cy="747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Zuze, Tawanda Samuel" id="{64B2B093-F620-4F55-8523-EC55CA2AD9B8}" userId="S::tawandaz@oldmutual.co.zw::d2f97388-73a0-4582-abce-f0f6c35e7e02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95" dT="2024-07-05T16:44:14.23" personId="{64B2B093-F620-4F55-8523-EC55CA2AD9B8}" id="{5CDDCE60-328C-438D-B325-33E9A22503EB}">
    <text>Funds placed on call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2A62-A62D-4EF7-9F6D-87B88AB0A4EA}">
  <sheetPr codeName="Sheet1"/>
  <dimension ref="A1:P90"/>
  <sheetViews>
    <sheetView zoomScale="154" zoomScaleNormal="80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ColWidth="8.6640625" defaultRowHeight="14.4" x14ac:dyDescent="0.3"/>
  <cols>
    <col min="1" max="1" width="17.44140625" style="20" customWidth="1"/>
    <col min="2" max="2" width="11.33203125" style="20" bestFit="1" customWidth="1"/>
    <col min="3" max="3" width="17.33203125" style="20" bestFit="1" customWidth="1"/>
    <col min="4" max="4" width="8.6640625" style="20"/>
    <col min="5" max="5" width="21.44140625" style="20" bestFit="1" customWidth="1"/>
    <col min="6" max="6" width="13.33203125" style="20" bestFit="1" customWidth="1"/>
    <col min="7" max="7" width="11" style="20" bestFit="1" customWidth="1"/>
    <col min="8" max="8" width="8.6640625" style="39"/>
    <col min="9" max="9" width="22.6640625" style="20" bestFit="1" customWidth="1"/>
    <col min="10" max="10" width="13.6640625" style="20" bestFit="1" customWidth="1"/>
    <col min="11" max="11" width="16" style="20" bestFit="1" customWidth="1"/>
    <col min="12" max="12" width="16" style="20" customWidth="1"/>
    <col min="13" max="13" width="17.33203125" style="20" bestFit="1" customWidth="1"/>
    <col min="14" max="14" width="8.6640625" style="22"/>
    <col min="15" max="15" width="18.33203125" style="20" customWidth="1"/>
    <col min="16" max="16384" width="8.6640625" style="20"/>
  </cols>
  <sheetData>
    <row r="1" spans="1:16" x14ac:dyDescent="0.3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39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O1" s="42"/>
    </row>
    <row r="2" spans="1:16" s="33" customFormat="1" x14ac:dyDescent="0.3">
      <c r="A2" s="40">
        <v>45657</v>
      </c>
      <c r="B2" s="33" t="s">
        <v>13</v>
      </c>
      <c r="C2" s="33" t="s">
        <v>14</v>
      </c>
      <c r="D2" s="33" t="s">
        <v>15</v>
      </c>
      <c r="E2" s="33" t="s">
        <v>16</v>
      </c>
      <c r="F2" s="40">
        <v>45691</v>
      </c>
      <c r="G2" s="40">
        <v>45600</v>
      </c>
      <c r="H2" s="41">
        <v>5</v>
      </c>
      <c r="I2" s="33" t="s">
        <v>17</v>
      </c>
      <c r="J2" s="24">
        <v>192.84</v>
      </c>
      <c r="K2" s="24">
        <v>194.35</v>
      </c>
      <c r="L2" s="39">
        <f>+H2/100</f>
        <v>0.05</v>
      </c>
      <c r="M2" s="38" t="s">
        <v>18</v>
      </c>
      <c r="N2" s="22"/>
    </row>
    <row r="3" spans="1:16" s="33" customFormat="1" x14ac:dyDescent="0.3">
      <c r="A3" s="40">
        <v>45657</v>
      </c>
      <c r="B3" s="33" t="s">
        <v>19</v>
      </c>
      <c r="C3" s="33" t="s">
        <v>20</v>
      </c>
      <c r="D3" s="33" t="s">
        <v>21</v>
      </c>
      <c r="E3" s="33" t="s">
        <v>22</v>
      </c>
      <c r="F3" s="40">
        <v>45691</v>
      </c>
      <c r="G3" s="40">
        <v>45600</v>
      </c>
      <c r="H3" s="41">
        <v>5</v>
      </c>
      <c r="I3" s="33" t="s">
        <v>17</v>
      </c>
      <c r="J3" s="24">
        <v>270.33999999999997</v>
      </c>
      <c r="K3" s="24">
        <v>272.45</v>
      </c>
      <c r="L3" s="39">
        <f t="shared" ref="L3:L66" si="0">+H3/100</f>
        <v>0.05</v>
      </c>
      <c r="M3" s="38" t="s">
        <v>18</v>
      </c>
      <c r="N3" s="22"/>
    </row>
    <row r="4" spans="1:16" s="33" customFormat="1" x14ac:dyDescent="0.3">
      <c r="A4" s="40">
        <v>45657</v>
      </c>
      <c r="B4" s="33" t="s">
        <v>23</v>
      </c>
      <c r="C4" s="33" t="s">
        <v>24</v>
      </c>
      <c r="D4" s="33" t="s">
        <v>25</v>
      </c>
      <c r="E4" s="33" t="s">
        <v>26</v>
      </c>
      <c r="F4" s="40">
        <v>45691</v>
      </c>
      <c r="G4" s="40">
        <v>45600</v>
      </c>
      <c r="H4" s="41">
        <v>5</v>
      </c>
      <c r="I4" s="33" t="s">
        <v>17</v>
      </c>
      <c r="J4" s="24">
        <v>35.1</v>
      </c>
      <c r="K4" s="24">
        <v>35.369999999999997</v>
      </c>
      <c r="L4" s="39">
        <f t="shared" si="0"/>
        <v>0.05</v>
      </c>
      <c r="M4" s="38" t="s">
        <v>18</v>
      </c>
      <c r="N4" s="22"/>
    </row>
    <row r="5" spans="1:16" s="33" customFormat="1" x14ac:dyDescent="0.3">
      <c r="A5" s="40">
        <v>45657</v>
      </c>
      <c r="B5" s="33" t="s">
        <v>27</v>
      </c>
      <c r="C5" s="33" t="s">
        <v>28</v>
      </c>
      <c r="D5" s="33" t="s">
        <v>29</v>
      </c>
      <c r="E5" s="33" t="s">
        <v>30</v>
      </c>
      <c r="F5" s="40">
        <v>45667</v>
      </c>
      <c r="G5" s="40">
        <v>45642</v>
      </c>
      <c r="H5" s="41">
        <v>11.929404</v>
      </c>
      <c r="I5" s="33" t="s">
        <v>31</v>
      </c>
      <c r="J5" s="24">
        <v>914255.27</v>
      </c>
      <c r="K5" s="24">
        <v>918737.4</v>
      </c>
      <c r="L5" s="39">
        <f t="shared" si="0"/>
        <v>0.11929404</v>
      </c>
      <c r="M5" s="38" t="s">
        <v>18</v>
      </c>
      <c r="N5" s="22"/>
    </row>
    <row r="6" spans="1:16" x14ac:dyDescent="0.3">
      <c r="A6" s="34">
        <v>45657</v>
      </c>
      <c r="B6" s="20" t="s">
        <v>32</v>
      </c>
      <c r="C6" s="20" t="s">
        <v>33</v>
      </c>
      <c r="D6" s="20" t="s">
        <v>34</v>
      </c>
      <c r="E6" s="20" t="s">
        <v>35</v>
      </c>
      <c r="F6" s="34">
        <v>45770</v>
      </c>
      <c r="G6" s="34">
        <v>45590</v>
      </c>
      <c r="H6" s="20">
        <v>12</v>
      </c>
      <c r="I6" s="20" t="s">
        <v>36</v>
      </c>
      <c r="J6" s="24">
        <v>3200</v>
      </c>
      <c r="K6" s="24">
        <v>3271.47</v>
      </c>
      <c r="L6" s="39">
        <f t="shared" si="0"/>
        <v>0.12</v>
      </c>
      <c r="M6" s="38" t="s">
        <v>37</v>
      </c>
      <c r="P6" s="43"/>
    </row>
    <row r="7" spans="1:16" x14ac:dyDescent="0.3">
      <c r="A7" s="34">
        <v>45657</v>
      </c>
      <c r="B7" s="20" t="s">
        <v>38</v>
      </c>
      <c r="C7" s="20" t="s">
        <v>39</v>
      </c>
      <c r="D7" s="20" t="s">
        <v>40</v>
      </c>
      <c r="E7" s="20" t="s">
        <v>41</v>
      </c>
      <c r="F7" s="34">
        <v>45700</v>
      </c>
      <c r="G7" s="34">
        <v>45610</v>
      </c>
      <c r="H7" s="20">
        <v>10</v>
      </c>
      <c r="I7" s="20" t="s">
        <v>42</v>
      </c>
      <c r="J7" s="24">
        <v>8414.11</v>
      </c>
      <c r="K7" s="24">
        <v>8523.9599999999991</v>
      </c>
      <c r="L7" s="39">
        <f t="shared" si="0"/>
        <v>0.1</v>
      </c>
      <c r="M7" s="38" t="s">
        <v>37</v>
      </c>
      <c r="P7" s="43"/>
    </row>
    <row r="8" spans="1:16" x14ac:dyDescent="0.3">
      <c r="A8" s="34">
        <v>45657</v>
      </c>
      <c r="B8" s="20" t="s">
        <v>38</v>
      </c>
      <c r="C8" s="20" t="s">
        <v>39</v>
      </c>
      <c r="D8" s="20" t="s">
        <v>43</v>
      </c>
      <c r="E8" s="20" t="s">
        <v>44</v>
      </c>
      <c r="F8" s="34">
        <v>45789</v>
      </c>
      <c r="G8" s="34">
        <v>45607</v>
      </c>
      <c r="H8" s="20">
        <v>20</v>
      </c>
      <c r="I8" s="20" t="s">
        <v>45</v>
      </c>
      <c r="J8" s="24">
        <v>4000</v>
      </c>
      <c r="K8" s="24">
        <v>4111.1099999999997</v>
      </c>
      <c r="L8" s="39">
        <f t="shared" si="0"/>
        <v>0.2</v>
      </c>
      <c r="M8" s="38" t="s">
        <v>37</v>
      </c>
      <c r="P8" s="43"/>
    </row>
    <row r="9" spans="1:16" x14ac:dyDescent="0.3">
      <c r="A9" s="34">
        <v>45657</v>
      </c>
      <c r="B9" s="20" t="s">
        <v>38</v>
      </c>
      <c r="C9" s="20" t="s">
        <v>39</v>
      </c>
      <c r="D9" s="20" t="s">
        <v>34</v>
      </c>
      <c r="E9" s="20" t="s">
        <v>35</v>
      </c>
      <c r="F9" s="34">
        <v>45770</v>
      </c>
      <c r="G9" s="34">
        <v>45590</v>
      </c>
      <c r="H9" s="20">
        <v>12</v>
      </c>
      <c r="I9" s="20" t="s">
        <v>36</v>
      </c>
      <c r="J9" s="24">
        <v>16000</v>
      </c>
      <c r="K9" s="24">
        <v>16357.33</v>
      </c>
      <c r="L9" s="39">
        <f t="shared" si="0"/>
        <v>0.12</v>
      </c>
      <c r="M9" s="38" t="s">
        <v>37</v>
      </c>
      <c r="P9" s="43"/>
    </row>
    <row r="10" spans="1:16" x14ac:dyDescent="0.3">
      <c r="A10" s="34">
        <v>45657</v>
      </c>
      <c r="B10" s="20" t="s">
        <v>46</v>
      </c>
      <c r="C10" s="20" t="s">
        <v>47</v>
      </c>
      <c r="D10" s="20" t="s">
        <v>34</v>
      </c>
      <c r="E10" s="20" t="s">
        <v>35</v>
      </c>
      <c r="F10" s="34">
        <v>45770</v>
      </c>
      <c r="G10" s="34">
        <v>45590</v>
      </c>
      <c r="H10" s="20">
        <v>12</v>
      </c>
      <c r="I10" s="20" t="s">
        <v>36</v>
      </c>
      <c r="J10" s="24">
        <v>4000</v>
      </c>
      <c r="K10" s="24">
        <v>4089.33</v>
      </c>
      <c r="L10" s="39">
        <f t="shared" si="0"/>
        <v>0.12</v>
      </c>
      <c r="M10" s="38" t="s">
        <v>37</v>
      </c>
      <c r="P10" s="43"/>
    </row>
    <row r="11" spans="1:16" x14ac:dyDescent="0.3">
      <c r="A11" s="34">
        <v>45657</v>
      </c>
      <c r="B11" s="20" t="s">
        <v>48</v>
      </c>
      <c r="C11" s="20" t="s">
        <v>49</v>
      </c>
      <c r="D11" s="20" t="s">
        <v>40</v>
      </c>
      <c r="E11" s="20" t="s">
        <v>41</v>
      </c>
      <c r="F11" s="34">
        <v>45700</v>
      </c>
      <c r="G11" s="34">
        <v>45610</v>
      </c>
      <c r="H11" s="20">
        <v>10</v>
      </c>
      <c r="I11" s="20" t="s">
        <v>42</v>
      </c>
      <c r="J11" s="24">
        <v>5258.82</v>
      </c>
      <c r="K11" s="24">
        <v>5327.48</v>
      </c>
      <c r="L11" s="39">
        <f t="shared" si="0"/>
        <v>0.1</v>
      </c>
      <c r="M11" s="38" t="s">
        <v>37</v>
      </c>
      <c r="P11" s="43"/>
    </row>
    <row r="12" spans="1:16" x14ac:dyDescent="0.3">
      <c r="A12" s="34">
        <v>45657</v>
      </c>
      <c r="B12" s="20" t="s">
        <v>50</v>
      </c>
      <c r="C12" s="20" t="s">
        <v>51</v>
      </c>
      <c r="D12" s="20" t="s">
        <v>34</v>
      </c>
      <c r="E12" s="20" t="s">
        <v>35</v>
      </c>
      <c r="F12" s="34">
        <v>45770</v>
      </c>
      <c r="G12" s="34">
        <v>45590</v>
      </c>
      <c r="H12" s="20">
        <v>12</v>
      </c>
      <c r="I12" s="20" t="s">
        <v>36</v>
      </c>
      <c r="J12" s="24">
        <v>2000</v>
      </c>
      <c r="K12" s="24">
        <v>2044.67</v>
      </c>
      <c r="L12" s="39">
        <f t="shared" si="0"/>
        <v>0.12</v>
      </c>
      <c r="M12" s="38" t="s">
        <v>37</v>
      </c>
      <c r="P12" s="43"/>
    </row>
    <row r="13" spans="1:16" x14ac:dyDescent="0.3">
      <c r="A13" s="34">
        <v>45657</v>
      </c>
      <c r="B13" s="20" t="s">
        <v>52</v>
      </c>
      <c r="C13" s="20" t="s">
        <v>53</v>
      </c>
      <c r="D13" s="20" t="s">
        <v>54</v>
      </c>
      <c r="E13" s="20" t="s">
        <v>55</v>
      </c>
      <c r="F13" s="34">
        <v>45684</v>
      </c>
      <c r="G13" s="34">
        <v>45594</v>
      </c>
      <c r="H13" s="20">
        <v>14.5</v>
      </c>
      <c r="I13" s="20" t="s">
        <v>56</v>
      </c>
      <c r="J13" s="24">
        <v>48321.63</v>
      </c>
      <c r="K13" s="24">
        <v>49547.79</v>
      </c>
      <c r="L13" s="39">
        <f t="shared" si="0"/>
        <v>0.14499999999999999</v>
      </c>
      <c r="M13" s="38" t="s">
        <v>37</v>
      </c>
      <c r="P13" s="43"/>
    </row>
    <row r="14" spans="1:16" x14ac:dyDescent="0.3">
      <c r="A14" s="34">
        <v>45657</v>
      </c>
      <c r="B14" s="20" t="s">
        <v>52</v>
      </c>
      <c r="C14" s="20" t="s">
        <v>53</v>
      </c>
      <c r="D14" s="20" t="s">
        <v>43</v>
      </c>
      <c r="E14" s="20" t="s">
        <v>44</v>
      </c>
      <c r="F14" s="34">
        <v>45789</v>
      </c>
      <c r="G14" s="34">
        <v>45607</v>
      </c>
      <c r="H14" s="20">
        <v>20</v>
      </c>
      <c r="I14" s="20" t="s">
        <v>45</v>
      </c>
      <c r="J14" s="24">
        <v>90000</v>
      </c>
      <c r="K14" s="24">
        <v>92500</v>
      </c>
      <c r="L14" s="39">
        <f t="shared" si="0"/>
        <v>0.2</v>
      </c>
      <c r="M14" s="38" t="s">
        <v>37</v>
      </c>
      <c r="P14" s="43"/>
    </row>
    <row r="15" spans="1:16" x14ac:dyDescent="0.3">
      <c r="A15" s="34">
        <v>45657</v>
      </c>
      <c r="B15" s="20" t="s">
        <v>52</v>
      </c>
      <c r="C15" s="20" t="s">
        <v>53</v>
      </c>
      <c r="D15" s="20" t="s">
        <v>57</v>
      </c>
      <c r="E15" s="20" t="s">
        <v>58</v>
      </c>
      <c r="F15" s="34">
        <v>45669</v>
      </c>
      <c r="G15" s="34">
        <v>45586</v>
      </c>
      <c r="H15" s="20">
        <v>12</v>
      </c>
      <c r="I15" s="20" t="s">
        <v>59</v>
      </c>
      <c r="J15" s="24">
        <v>31837.3</v>
      </c>
      <c r="K15" s="24">
        <v>32590.78</v>
      </c>
      <c r="L15" s="39">
        <f t="shared" si="0"/>
        <v>0.12</v>
      </c>
      <c r="M15" s="38" t="s">
        <v>37</v>
      </c>
      <c r="P15" s="43"/>
    </row>
    <row r="16" spans="1:16" x14ac:dyDescent="0.3">
      <c r="A16" s="34">
        <v>45657</v>
      </c>
      <c r="B16" s="20" t="s">
        <v>52</v>
      </c>
      <c r="C16" s="20" t="s">
        <v>53</v>
      </c>
      <c r="D16" s="20" t="s">
        <v>60</v>
      </c>
      <c r="E16" s="20" t="s">
        <v>61</v>
      </c>
      <c r="F16" s="34">
        <v>45674</v>
      </c>
      <c r="G16" s="34">
        <v>45644</v>
      </c>
      <c r="H16" s="20">
        <v>9</v>
      </c>
      <c r="I16" s="20" t="s">
        <v>59</v>
      </c>
      <c r="J16" s="24">
        <v>69991.66</v>
      </c>
      <c r="K16" s="24">
        <v>70219.13</v>
      </c>
      <c r="L16" s="39">
        <f t="shared" si="0"/>
        <v>0.09</v>
      </c>
      <c r="M16" s="38" t="s">
        <v>37</v>
      </c>
      <c r="P16" s="43"/>
    </row>
    <row r="17" spans="1:16" x14ac:dyDescent="0.3">
      <c r="A17" s="34">
        <v>45657</v>
      </c>
      <c r="B17" s="20" t="s">
        <v>52</v>
      </c>
      <c r="C17" s="20" t="s">
        <v>53</v>
      </c>
      <c r="D17" s="20" t="s">
        <v>62</v>
      </c>
      <c r="E17" s="20" t="s">
        <v>63</v>
      </c>
      <c r="F17" s="34">
        <v>45793</v>
      </c>
      <c r="G17" s="34">
        <v>45610</v>
      </c>
      <c r="H17" s="20">
        <v>10</v>
      </c>
      <c r="I17" s="20" t="s">
        <v>64</v>
      </c>
      <c r="J17" s="24">
        <v>20000</v>
      </c>
      <c r="K17" s="24">
        <v>20261.11</v>
      </c>
      <c r="L17" s="39">
        <f t="shared" si="0"/>
        <v>0.1</v>
      </c>
      <c r="M17" s="38" t="s">
        <v>37</v>
      </c>
      <c r="P17" s="43"/>
    </row>
    <row r="18" spans="1:16" x14ac:dyDescent="0.3">
      <c r="A18" s="34">
        <v>45657</v>
      </c>
      <c r="B18" s="20" t="s">
        <v>65</v>
      </c>
      <c r="C18" s="20" t="s">
        <v>66</v>
      </c>
      <c r="D18" s="20" t="s">
        <v>54</v>
      </c>
      <c r="E18" s="20" t="s">
        <v>55</v>
      </c>
      <c r="F18" s="34">
        <v>45684</v>
      </c>
      <c r="G18" s="34">
        <v>45594</v>
      </c>
      <c r="H18" s="20">
        <v>14.5</v>
      </c>
      <c r="I18" s="20" t="s">
        <v>56</v>
      </c>
      <c r="J18" s="24">
        <v>21476.28</v>
      </c>
      <c r="K18" s="24">
        <v>22021.24</v>
      </c>
      <c r="L18" s="39">
        <f t="shared" si="0"/>
        <v>0.14499999999999999</v>
      </c>
      <c r="M18" s="38" t="s">
        <v>37</v>
      </c>
      <c r="P18" s="43"/>
    </row>
    <row r="19" spans="1:16" x14ac:dyDescent="0.3">
      <c r="A19" s="34">
        <v>45657</v>
      </c>
      <c r="B19" s="20" t="s">
        <v>65</v>
      </c>
      <c r="C19" s="20" t="s">
        <v>66</v>
      </c>
      <c r="D19" s="20" t="s">
        <v>43</v>
      </c>
      <c r="E19" s="20" t="s">
        <v>44</v>
      </c>
      <c r="F19" s="34">
        <v>45789</v>
      </c>
      <c r="G19" s="34">
        <v>45607</v>
      </c>
      <c r="H19" s="20">
        <v>20</v>
      </c>
      <c r="I19" s="20" t="s">
        <v>45</v>
      </c>
      <c r="J19" s="24">
        <v>20000</v>
      </c>
      <c r="K19" s="24">
        <v>20555.560000000001</v>
      </c>
      <c r="L19" s="39">
        <f t="shared" si="0"/>
        <v>0.2</v>
      </c>
      <c r="M19" s="38" t="s">
        <v>37</v>
      </c>
      <c r="P19" s="43"/>
    </row>
    <row r="20" spans="1:16" x14ac:dyDescent="0.3">
      <c r="A20" s="34">
        <v>45657</v>
      </c>
      <c r="B20" s="20" t="s">
        <v>65</v>
      </c>
      <c r="C20" s="20" t="s">
        <v>66</v>
      </c>
      <c r="D20" s="20" t="s">
        <v>67</v>
      </c>
      <c r="E20" s="20" t="s">
        <v>68</v>
      </c>
      <c r="F20" s="34">
        <v>45733</v>
      </c>
      <c r="G20" s="34">
        <v>45642</v>
      </c>
      <c r="H20" s="20">
        <v>10</v>
      </c>
      <c r="I20" s="20" t="s">
        <v>69</v>
      </c>
      <c r="J20" s="24">
        <v>12922.69</v>
      </c>
      <c r="K20" s="24">
        <v>12976.53</v>
      </c>
      <c r="L20" s="39">
        <f t="shared" si="0"/>
        <v>0.1</v>
      </c>
      <c r="M20" s="38" t="s">
        <v>37</v>
      </c>
      <c r="P20" s="43"/>
    </row>
    <row r="21" spans="1:16" x14ac:dyDescent="0.3">
      <c r="A21" s="34">
        <v>45657</v>
      </c>
      <c r="B21" s="20" t="s">
        <v>70</v>
      </c>
      <c r="C21" s="20" t="s">
        <v>71</v>
      </c>
      <c r="D21" s="20" t="s">
        <v>72</v>
      </c>
      <c r="E21" s="20" t="s">
        <v>73</v>
      </c>
      <c r="F21" s="34">
        <v>45805</v>
      </c>
      <c r="G21" s="34">
        <v>45625</v>
      </c>
      <c r="H21" s="20">
        <v>12</v>
      </c>
      <c r="I21" s="20" t="s">
        <v>69</v>
      </c>
      <c r="J21" s="24">
        <v>300000</v>
      </c>
      <c r="K21" s="24">
        <v>303200</v>
      </c>
      <c r="L21" s="39">
        <f t="shared" si="0"/>
        <v>0.12</v>
      </c>
      <c r="M21" s="38" t="s">
        <v>37</v>
      </c>
      <c r="P21" s="43"/>
    </row>
    <row r="22" spans="1:16" x14ac:dyDescent="0.3">
      <c r="A22" s="34">
        <v>45657</v>
      </c>
      <c r="B22" s="20" t="s">
        <v>74</v>
      </c>
      <c r="C22" s="20" t="s">
        <v>75</v>
      </c>
      <c r="D22" s="20" t="s">
        <v>40</v>
      </c>
      <c r="E22" s="20" t="s">
        <v>41</v>
      </c>
      <c r="F22" s="34">
        <v>45700</v>
      </c>
      <c r="G22" s="34">
        <v>45610</v>
      </c>
      <c r="H22" s="20">
        <v>10</v>
      </c>
      <c r="I22" s="20" t="s">
        <v>42</v>
      </c>
      <c r="J22" s="24">
        <v>9465.8799999999992</v>
      </c>
      <c r="K22" s="24">
        <v>9589.4599999999991</v>
      </c>
      <c r="L22" s="39">
        <f t="shared" si="0"/>
        <v>0.1</v>
      </c>
      <c r="M22" s="38" t="s">
        <v>37</v>
      </c>
      <c r="P22" s="43"/>
    </row>
    <row r="23" spans="1:16" x14ac:dyDescent="0.3">
      <c r="A23" s="34">
        <v>45657</v>
      </c>
      <c r="B23" s="20" t="s">
        <v>74</v>
      </c>
      <c r="C23" s="20" t="s">
        <v>75</v>
      </c>
      <c r="D23" s="20" t="s">
        <v>43</v>
      </c>
      <c r="E23" s="20" t="s">
        <v>44</v>
      </c>
      <c r="F23" s="34">
        <v>45789</v>
      </c>
      <c r="G23" s="34">
        <v>45607</v>
      </c>
      <c r="H23" s="20">
        <v>20</v>
      </c>
      <c r="I23" s="20" t="s">
        <v>45</v>
      </c>
      <c r="J23" s="24">
        <v>20000</v>
      </c>
      <c r="K23" s="24">
        <v>20555.560000000001</v>
      </c>
      <c r="L23" s="39">
        <f t="shared" si="0"/>
        <v>0.2</v>
      </c>
      <c r="M23" s="38" t="s">
        <v>37</v>
      </c>
      <c r="P23" s="43"/>
    </row>
    <row r="24" spans="1:16" x14ac:dyDescent="0.3">
      <c r="A24" s="34">
        <v>45657</v>
      </c>
      <c r="B24" s="20" t="s">
        <v>74</v>
      </c>
      <c r="C24" s="20" t="s">
        <v>75</v>
      </c>
      <c r="D24" s="20" t="s">
        <v>34</v>
      </c>
      <c r="E24" s="20" t="s">
        <v>35</v>
      </c>
      <c r="F24" s="34">
        <v>45770</v>
      </c>
      <c r="G24" s="34">
        <v>45590</v>
      </c>
      <c r="H24" s="20">
        <v>12</v>
      </c>
      <c r="I24" s="20" t="s">
        <v>36</v>
      </c>
      <c r="J24" s="24">
        <v>27000</v>
      </c>
      <c r="K24" s="24">
        <v>27603</v>
      </c>
      <c r="L24" s="39">
        <f t="shared" si="0"/>
        <v>0.12</v>
      </c>
      <c r="M24" s="38" t="s">
        <v>37</v>
      </c>
      <c r="P24" s="43"/>
    </row>
    <row r="25" spans="1:16" x14ac:dyDescent="0.3">
      <c r="A25" s="34">
        <v>45657</v>
      </c>
      <c r="B25" s="20" t="s">
        <v>76</v>
      </c>
      <c r="C25" s="20" t="s">
        <v>77</v>
      </c>
      <c r="D25" s="20" t="s">
        <v>40</v>
      </c>
      <c r="E25" s="20" t="s">
        <v>41</v>
      </c>
      <c r="F25" s="34">
        <v>45700</v>
      </c>
      <c r="G25" s="34">
        <v>45610</v>
      </c>
      <c r="H25" s="20">
        <v>10</v>
      </c>
      <c r="I25" s="20" t="s">
        <v>42</v>
      </c>
      <c r="J25" s="24">
        <v>91750.75</v>
      </c>
      <c r="K25" s="24">
        <v>92948.61</v>
      </c>
      <c r="L25" s="39">
        <f t="shared" si="0"/>
        <v>0.1</v>
      </c>
      <c r="M25" s="38" t="s">
        <v>37</v>
      </c>
      <c r="P25" s="43"/>
    </row>
    <row r="26" spans="1:16" x14ac:dyDescent="0.3">
      <c r="A26" s="34">
        <v>45657</v>
      </c>
      <c r="B26" s="20" t="s">
        <v>76</v>
      </c>
      <c r="C26" s="20" t="s">
        <v>77</v>
      </c>
      <c r="D26" s="20" t="s">
        <v>78</v>
      </c>
      <c r="E26" s="20" t="s">
        <v>79</v>
      </c>
      <c r="F26" s="34">
        <v>45712</v>
      </c>
      <c r="G26" s="34">
        <v>45621</v>
      </c>
      <c r="H26" s="20">
        <v>12</v>
      </c>
      <c r="I26" s="20" t="s">
        <v>80</v>
      </c>
      <c r="J26" s="24">
        <v>58000</v>
      </c>
      <c r="K26" s="24">
        <v>58696</v>
      </c>
      <c r="L26" s="39">
        <f t="shared" si="0"/>
        <v>0.12</v>
      </c>
      <c r="M26" s="38" t="s">
        <v>37</v>
      </c>
      <c r="P26" s="43"/>
    </row>
    <row r="27" spans="1:16" x14ac:dyDescent="0.3">
      <c r="A27" s="34">
        <v>45657</v>
      </c>
      <c r="B27" s="20" t="s">
        <v>76</v>
      </c>
      <c r="C27" s="20" t="s">
        <v>77</v>
      </c>
      <c r="D27" s="20" t="s">
        <v>43</v>
      </c>
      <c r="E27" s="20" t="s">
        <v>44</v>
      </c>
      <c r="F27" s="34">
        <v>45789</v>
      </c>
      <c r="G27" s="34">
        <v>45607</v>
      </c>
      <c r="H27" s="20">
        <v>20</v>
      </c>
      <c r="I27" s="20" t="s">
        <v>45</v>
      </c>
      <c r="J27" s="24">
        <v>51000</v>
      </c>
      <c r="K27" s="24">
        <v>52416.67</v>
      </c>
      <c r="L27" s="39">
        <f t="shared" si="0"/>
        <v>0.2</v>
      </c>
      <c r="M27" s="38" t="s">
        <v>37</v>
      </c>
      <c r="P27" s="43"/>
    </row>
    <row r="28" spans="1:16" x14ac:dyDescent="0.3">
      <c r="A28" s="34">
        <v>45657</v>
      </c>
      <c r="B28" s="20" t="s">
        <v>76</v>
      </c>
      <c r="C28" s="20" t="s">
        <v>77</v>
      </c>
      <c r="D28" s="20" t="s">
        <v>81</v>
      </c>
      <c r="E28" s="20" t="s">
        <v>82</v>
      </c>
      <c r="F28" s="34">
        <v>46010</v>
      </c>
      <c r="G28" s="34">
        <v>45650</v>
      </c>
      <c r="H28" s="20">
        <v>15</v>
      </c>
      <c r="I28" s="20" t="s">
        <v>83</v>
      </c>
      <c r="J28" s="24">
        <v>30000</v>
      </c>
      <c r="K28" s="24">
        <v>30086.3</v>
      </c>
      <c r="L28" s="39">
        <f t="shared" si="0"/>
        <v>0.15</v>
      </c>
      <c r="M28" s="38" t="s">
        <v>37</v>
      </c>
      <c r="P28" s="43"/>
    </row>
    <row r="29" spans="1:16" x14ac:dyDescent="0.3">
      <c r="A29" s="34">
        <v>45657</v>
      </c>
      <c r="B29" s="20" t="s">
        <v>76</v>
      </c>
      <c r="C29" s="20" t="s">
        <v>77</v>
      </c>
      <c r="D29" s="20" t="s">
        <v>60</v>
      </c>
      <c r="E29" s="20" t="s">
        <v>61</v>
      </c>
      <c r="F29" s="34">
        <v>45674</v>
      </c>
      <c r="G29" s="34">
        <v>45644</v>
      </c>
      <c r="H29" s="20">
        <v>9</v>
      </c>
      <c r="I29" s="20" t="s">
        <v>59</v>
      </c>
      <c r="J29" s="24">
        <v>324797.09999999998</v>
      </c>
      <c r="K29" s="24">
        <v>325852.69</v>
      </c>
      <c r="L29" s="39">
        <f t="shared" si="0"/>
        <v>0.09</v>
      </c>
      <c r="M29" s="38" t="s">
        <v>37</v>
      </c>
      <c r="P29" s="43"/>
    </row>
    <row r="30" spans="1:16" x14ac:dyDescent="0.3">
      <c r="A30" s="34">
        <v>45657</v>
      </c>
      <c r="B30" s="20" t="s">
        <v>76</v>
      </c>
      <c r="C30" s="20" t="s">
        <v>77</v>
      </c>
      <c r="D30" s="20" t="s">
        <v>62</v>
      </c>
      <c r="E30" s="20" t="s">
        <v>63</v>
      </c>
      <c r="F30" s="34">
        <v>45793</v>
      </c>
      <c r="G30" s="34">
        <v>45610</v>
      </c>
      <c r="H30" s="20">
        <v>10</v>
      </c>
      <c r="I30" s="20" t="s">
        <v>64</v>
      </c>
      <c r="J30" s="24">
        <v>5000</v>
      </c>
      <c r="K30" s="24">
        <v>5065.28</v>
      </c>
      <c r="L30" s="39">
        <f t="shared" si="0"/>
        <v>0.1</v>
      </c>
      <c r="M30" s="38" t="s">
        <v>37</v>
      </c>
      <c r="P30" s="43"/>
    </row>
    <row r="31" spans="1:16" x14ac:dyDescent="0.3">
      <c r="A31" s="34">
        <v>45657</v>
      </c>
      <c r="B31" s="20" t="s">
        <v>27</v>
      </c>
      <c r="C31" s="20" t="s">
        <v>28</v>
      </c>
      <c r="D31" s="20" t="s">
        <v>54</v>
      </c>
      <c r="E31" s="20" t="s">
        <v>55</v>
      </c>
      <c r="F31" s="34">
        <v>45684</v>
      </c>
      <c r="G31" s="34">
        <v>45594</v>
      </c>
      <c r="H31" s="20">
        <v>14.5</v>
      </c>
      <c r="I31" s="20" t="s">
        <v>56</v>
      </c>
      <c r="J31" s="24">
        <v>123488.62</v>
      </c>
      <c r="K31" s="24">
        <v>126622.14</v>
      </c>
      <c r="L31" s="39">
        <f t="shared" si="0"/>
        <v>0.14499999999999999</v>
      </c>
      <c r="M31" s="38" t="s">
        <v>37</v>
      </c>
      <c r="P31" s="43"/>
    </row>
    <row r="32" spans="1:16" x14ac:dyDescent="0.3">
      <c r="A32" s="34">
        <v>45657</v>
      </c>
      <c r="B32" s="20" t="s">
        <v>27</v>
      </c>
      <c r="C32" s="20" t="s">
        <v>28</v>
      </c>
      <c r="D32" s="20" t="s">
        <v>84</v>
      </c>
      <c r="E32" s="20" t="s">
        <v>85</v>
      </c>
      <c r="F32" s="34">
        <v>45691</v>
      </c>
      <c r="G32" s="34">
        <v>45601</v>
      </c>
      <c r="H32" s="20">
        <v>8</v>
      </c>
      <c r="I32" s="20" t="s">
        <v>56</v>
      </c>
      <c r="J32" s="24">
        <v>100000</v>
      </c>
      <c r="K32" s="24">
        <v>101244.44</v>
      </c>
      <c r="L32" s="39">
        <f t="shared" si="0"/>
        <v>0.08</v>
      </c>
      <c r="M32" s="38" t="s">
        <v>37</v>
      </c>
      <c r="P32" s="43"/>
    </row>
    <row r="33" spans="1:16" x14ac:dyDescent="0.3">
      <c r="A33" s="34">
        <v>45657</v>
      </c>
      <c r="B33" s="20" t="s">
        <v>27</v>
      </c>
      <c r="C33" s="20" t="s">
        <v>28</v>
      </c>
      <c r="D33" s="20" t="s">
        <v>72</v>
      </c>
      <c r="E33" s="20" t="s">
        <v>73</v>
      </c>
      <c r="F33" s="34">
        <v>45805</v>
      </c>
      <c r="G33" s="34">
        <v>45625</v>
      </c>
      <c r="H33" s="20">
        <v>12</v>
      </c>
      <c r="I33" s="20" t="s">
        <v>69</v>
      </c>
      <c r="J33" s="24">
        <v>200000</v>
      </c>
      <c r="K33" s="24">
        <v>202133.33</v>
      </c>
      <c r="L33" s="39">
        <f t="shared" si="0"/>
        <v>0.12</v>
      </c>
      <c r="M33" s="38" t="s">
        <v>37</v>
      </c>
      <c r="P33" s="43"/>
    </row>
    <row r="34" spans="1:16" x14ac:dyDescent="0.3">
      <c r="A34" s="34">
        <v>45657</v>
      </c>
      <c r="B34" s="20" t="s">
        <v>27</v>
      </c>
      <c r="C34" s="20" t="s">
        <v>28</v>
      </c>
      <c r="D34" s="20" t="s">
        <v>81</v>
      </c>
      <c r="E34" s="20" t="s">
        <v>82</v>
      </c>
      <c r="F34" s="34">
        <v>46010</v>
      </c>
      <c r="G34" s="34">
        <v>45650</v>
      </c>
      <c r="H34" s="20">
        <v>15</v>
      </c>
      <c r="I34" s="20" t="s">
        <v>83</v>
      </c>
      <c r="J34" s="24">
        <v>250000</v>
      </c>
      <c r="K34" s="24">
        <v>250719.18</v>
      </c>
      <c r="L34" s="39">
        <f t="shared" si="0"/>
        <v>0.15</v>
      </c>
      <c r="M34" s="38" t="s">
        <v>37</v>
      </c>
      <c r="P34" s="43"/>
    </row>
    <row r="35" spans="1:16" x14ac:dyDescent="0.3">
      <c r="A35" s="34">
        <v>45657</v>
      </c>
      <c r="B35" s="20" t="s">
        <v>27</v>
      </c>
      <c r="C35" s="20" t="s">
        <v>28</v>
      </c>
      <c r="D35" s="20" t="s">
        <v>86</v>
      </c>
      <c r="E35" s="20" t="s">
        <v>87</v>
      </c>
      <c r="F35" s="34">
        <v>45761</v>
      </c>
      <c r="G35" s="34">
        <v>45579</v>
      </c>
      <c r="H35" s="20">
        <v>12</v>
      </c>
      <c r="I35" s="20" t="s">
        <v>88</v>
      </c>
      <c r="J35" s="24">
        <v>100000</v>
      </c>
      <c r="K35" s="24">
        <v>102600</v>
      </c>
      <c r="L35" s="39">
        <f t="shared" si="0"/>
        <v>0.12</v>
      </c>
      <c r="M35" s="38" t="s">
        <v>37</v>
      </c>
      <c r="P35" s="43"/>
    </row>
    <row r="36" spans="1:16" x14ac:dyDescent="0.3">
      <c r="A36" s="34">
        <v>45657</v>
      </c>
      <c r="B36" s="20" t="s">
        <v>27</v>
      </c>
      <c r="C36" s="20" t="s">
        <v>28</v>
      </c>
      <c r="D36" s="20" t="s">
        <v>89</v>
      </c>
      <c r="E36" s="20" t="s">
        <v>90</v>
      </c>
      <c r="F36" s="34">
        <v>45967</v>
      </c>
      <c r="G36" s="34">
        <v>45607</v>
      </c>
      <c r="H36" s="20">
        <v>12</v>
      </c>
      <c r="I36" s="20" t="s">
        <v>88</v>
      </c>
      <c r="J36" s="24">
        <v>500000</v>
      </c>
      <c r="K36" s="24">
        <v>508333.33</v>
      </c>
      <c r="L36" s="39">
        <f t="shared" si="0"/>
        <v>0.12</v>
      </c>
      <c r="M36" s="38" t="s">
        <v>37</v>
      </c>
      <c r="P36" s="43"/>
    </row>
    <row r="37" spans="1:16" x14ac:dyDescent="0.3">
      <c r="A37" s="34">
        <v>45657</v>
      </c>
      <c r="B37" s="20" t="s">
        <v>27</v>
      </c>
      <c r="C37" s="20" t="s">
        <v>28</v>
      </c>
      <c r="D37" s="20" t="s">
        <v>91</v>
      </c>
      <c r="E37" s="20" t="s">
        <v>92</v>
      </c>
      <c r="F37" s="34">
        <v>45995</v>
      </c>
      <c r="G37" s="34">
        <v>45635</v>
      </c>
      <c r="H37" s="20">
        <v>20</v>
      </c>
      <c r="I37" s="20" t="s">
        <v>88</v>
      </c>
      <c r="J37" s="24">
        <v>100000</v>
      </c>
      <c r="K37" s="24">
        <v>101222.22</v>
      </c>
      <c r="L37" s="39">
        <f t="shared" si="0"/>
        <v>0.2</v>
      </c>
      <c r="M37" s="38" t="s">
        <v>37</v>
      </c>
      <c r="P37" s="43"/>
    </row>
    <row r="38" spans="1:16" x14ac:dyDescent="0.3">
      <c r="A38" s="34">
        <v>45657</v>
      </c>
      <c r="B38" s="20" t="s">
        <v>27</v>
      </c>
      <c r="C38" s="20" t="s">
        <v>28</v>
      </c>
      <c r="D38" s="20" t="s">
        <v>93</v>
      </c>
      <c r="E38" s="20" t="s">
        <v>94</v>
      </c>
      <c r="F38" s="34">
        <v>45726</v>
      </c>
      <c r="G38" s="34">
        <v>45635</v>
      </c>
      <c r="H38" s="20">
        <v>11</v>
      </c>
      <c r="I38" s="20" t="s">
        <v>88</v>
      </c>
      <c r="J38" s="24">
        <v>580000</v>
      </c>
      <c r="K38" s="24">
        <v>583898.89</v>
      </c>
      <c r="L38" s="39">
        <f t="shared" si="0"/>
        <v>0.11</v>
      </c>
      <c r="M38" s="38" t="s">
        <v>37</v>
      </c>
      <c r="P38" s="43"/>
    </row>
    <row r="39" spans="1:16" x14ac:dyDescent="0.3">
      <c r="A39" s="34">
        <v>45657</v>
      </c>
      <c r="B39" s="20" t="s">
        <v>27</v>
      </c>
      <c r="C39" s="20" t="s">
        <v>28</v>
      </c>
      <c r="D39" s="20" t="s">
        <v>62</v>
      </c>
      <c r="E39" s="20" t="s">
        <v>63</v>
      </c>
      <c r="F39" s="34">
        <v>45793</v>
      </c>
      <c r="G39" s="34">
        <v>45610</v>
      </c>
      <c r="H39" s="20">
        <v>10</v>
      </c>
      <c r="I39" s="20" t="s">
        <v>64</v>
      </c>
      <c r="J39" s="24">
        <v>120000</v>
      </c>
      <c r="K39" s="24">
        <v>121566.67</v>
      </c>
      <c r="L39" s="39">
        <f t="shared" si="0"/>
        <v>0.1</v>
      </c>
      <c r="M39" s="38" t="s">
        <v>37</v>
      </c>
      <c r="P39" s="43"/>
    </row>
    <row r="40" spans="1:16" x14ac:dyDescent="0.3">
      <c r="A40" s="34">
        <v>45657</v>
      </c>
      <c r="B40" s="20" t="s">
        <v>95</v>
      </c>
      <c r="C40" s="20" t="s">
        <v>96</v>
      </c>
      <c r="D40" s="20" t="s">
        <v>97</v>
      </c>
      <c r="E40" s="20" t="s">
        <v>98</v>
      </c>
      <c r="F40" s="34">
        <v>45712</v>
      </c>
      <c r="G40" s="34">
        <v>45530</v>
      </c>
      <c r="H40" s="20">
        <v>11</v>
      </c>
      <c r="I40" s="20" t="s">
        <v>80</v>
      </c>
      <c r="J40" s="24">
        <v>800000</v>
      </c>
      <c r="K40" s="24">
        <v>831044.44</v>
      </c>
      <c r="L40" s="39">
        <f t="shared" si="0"/>
        <v>0.11</v>
      </c>
      <c r="M40" s="38" t="s">
        <v>37</v>
      </c>
      <c r="P40" s="43"/>
    </row>
    <row r="41" spans="1:16" x14ac:dyDescent="0.3">
      <c r="A41" s="34">
        <v>45657</v>
      </c>
      <c r="B41" s="20" t="s">
        <v>95</v>
      </c>
      <c r="C41" s="20" t="s">
        <v>96</v>
      </c>
      <c r="D41" s="20" t="s">
        <v>99</v>
      </c>
      <c r="E41" s="20" t="s">
        <v>100</v>
      </c>
      <c r="F41" s="34">
        <v>45667</v>
      </c>
      <c r="G41" s="34">
        <v>45635</v>
      </c>
      <c r="H41" s="20">
        <v>10</v>
      </c>
      <c r="I41" s="20" t="s">
        <v>69</v>
      </c>
      <c r="J41" s="24">
        <v>513310.75</v>
      </c>
      <c r="K41" s="24">
        <v>516447.65</v>
      </c>
      <c r="L41" s="39">
        <f t="shared" si="0"/>
        <v>0.1</v>
      </c>
      <c r="M41" s="38" t="s">
        <v>37</v>
      </c>
      <c r="P41" s="43"/>
    </row>
    <row r="42" spans="1:16" x14ac:dyDescent="0.3">
      <c r="A42" s="34">
        <v>45657</v>
      </c>
      <c r="B42" s="20" t="s">
        <v>101</v>
      </c>
      <c r="C42" s="20" t="s">
        <v>102</v>
      </c>
      <c r="D42" s="20" t="s">
        <v>34</v>
      </c>
      <c r="E42" s="20" t="s">
        <v>35</v>
      </c>
      <c r="F42" s="34">
        <v>45770</v>
      </c>
      <c r="G42" s="34">
        <v>45590</v>
      </c>
      <c r="H42" s="20">
        <v>12</v>
      </c>
      <c r="I42" s="20" t="s">
        <v>36</v>
      </c>
      <c r="J42" s="24">
        <v>14700</v>
      </c>
      <c r="K42" s="24">
        <v>15028.3</v>
      </c>
      <c r="L42" s="39">
        <f t="shared" si="0"/>
        <v>0.12</v>
      </c>
      <c r="M42" s="38" t="s">
        <v>37</v>
      </c>
      <c r="P42" s="43"/>
    </row>
    <row r="43" spans="1:16" x14ac:dyDescent="0.3">
      <c r="A43" s="34">
        <v>45657</v>
      </c>
      <c r="B43" s="20" t="s">
        <v>103</v>
      </c>
      <c r="C43" s="20" t="s">
        <v>104</v>
      </c>
      <c r="D43" s="20" t="s">
        <v>34</v>
      </c>
      <c r="E43" s="20" t="s">
        <v>35</v>
      </c>
      <c r="F43" s="34">
        <v>45770</v>
      </c>
      <c r="G43" s="34">
        <v>45590</v>
      </c>
      <c r="H43" s="20">
        <v>12</v>
      </c>
      <c r="I43" s="20" t="s">
        <v>36</v>
      </c>
      <c r="J43" s="24">
        <v>3200</v>
      </c>
      <c r="K43" s="24">
        <v>3271.47</v>
      </c>
      <c r="L43" s="39">
        <f t="shared" si="0"/>
        <v>0.12</v>
      </c>
      <c r="M43" s="38" t="s">
        <v>37</v>
      </c>
      <c r="P43" s="43"/>
    </row>
    <row r="44" spans="1:16" x14ac:dyDescent="0.3">
      <c r="A44" s="34">
        <v>45657</v>
      </c>
      <c r="B44" s="20" t="s">
        <v>105</v>
      </c>
      <c r="C44" s="20" t="s">
        <v>106</v>
      </c>
      <c r="D44" s="20" t="s">
        <v>34</v>
      </c>
      <c r="E44" s="20" t="s">
        <v>35</v>
      </c>
      <c r="F44" s="34">
        <v>45770</v>
      </c>
      <c r="G44" s="34">
        <v>45590</v>
      </c>
      <c r="H44" s="20">
        <v>12</v>
      </c>
      <c r="I44" s="20" t="s">
        <v>36</v>
      </c>
      <c r="J44" s="24">
        <v>1000</v>
      </c>
      <c r="K44" s="24">
        <v>1022.33</v>
      </c>
      <c r="L44" s="39">
        <f t="shared" si="0"/>
        <v>0.12</v>
      </c>
      <c r="M44" s="38" t="s">
        <v>37</v>
      </c>
      <c r="P44" s="43"/>
    </row>
    <row r="45" spans="1:16" x14ac:dyDescent="0.3">
      <c r="A45" s="34">
        <v>45657</v>
      </c>
      <c r="B45" s="20" t="s">
        <v>107</v>
      </c>
      <c r="C45" s="20" t="s">
        <v>108</v>
      </c>
      <c r="D45" s="20" t="s">
        <v>54</v>
      </c>
      <c r="E45" s="20" t="s">
        <v>55</v>
      </c>
      <c r="F45" s="34">
        <v>45684</v>
      </c>
      <c r="G45" s="34">
        <v>45594</v>
      </c>
      <c r="H45" s="20">
        <v>14.5</v>
      </c>
      <c r="I45" s="20" t="s">
        <v>56</v>
      </c>
      <c r="J45" s="24">
        <v>21476.28</v>
      </c>
      <c r="K45" s="24">
        <v>22021.24</v>
      </c>
      <c r="L45" s="39">
        <f t="shared" si="0"/>
        <v>0.14499999999999999</v>
      </c>
      <c r="M45" s="38" t="s">
        <v>37</v>
      </c>
      <c r="P45" s="43"/>
    </row>
    <row r="46" spans="1:16" x14ac:dyDescent="0.3">
      <c r="A46" s="34">
        <v>45657</v>
      </c>
      <c r="B46" s="20" t="s">
        <v>107</v>
      </c>
      <c r="C46" s="20" t="s">
        <v>108</v>
      </c>
      <c r="D46" s="20" t="s">
        <v>84</v>
      </c>
      <c r="E46" s="20" t="s">
        <v>85</v>
      </c>
      <c r="F46" s="34">
        <v>45691</v>
      </c>
      <c r="G46" s="34">
        <v>45601</v>
      </c>
      <c r="H46" s="20">
        <v>8</v>
      </c>
      <c r="I46" s="20" t="s">
        <v>56</v>
      </c>
      <c r="J46" s="24">
        <v>200000</v>
      </c>
      <c r="K46" s="24">
        <v>202488.89</v>
      </c>
      <c r="L46" s="39">
        <f t="shared" si="0"/>
        <v>0.08</v>
      </c>
      <c r="M46" s="38" t="s">
        <v>37</v>
      </c>
      <c r="P46" s="43"/>
    </row>
    <row r="47" spans="1:16" x14ac:dyDescent="0.3">
      <c r="A47" s="34">
        <v>45657</v>
      </c>
      <c r="B47" s="20" t="s">
        <v>107</v>
      </c>
      <c r="C47" s="20" t="s">
        <v>108</v>
      </c>
      <c r="D47" s="20" t="s">
        <v>109</v>
      </c>
      <c r="E47" s="20" t="s">
        <v>110</v>
      </c>
      <c r="F47" s="34">
        <v>45663</v>
      </c>
      <c r="G47" s="34">
        <v>45618</v>
      </c>
      <c r="H47" s="20">
        <v>10</v>
      </c>
      <c r="I47" s="20" t="s">
        <v>56</v>
      </c>
      <c r="J47" s="24">
        <v>166375</v>
      </c>
      <c r="K47" s="24">
        <v>168177.4</v>
      </c>
      <c r="L47" s="39">
        <f t="shared" si="0"/>
        <v>0.1</v>
      </c>
      <c r="M47" s="38" t="s">
        <v>37</v>
      </c>
      <c r="P47" s="43"/>
    </row>
    <row r="48" spans="1:16" x14ac:dyDescent="0.3">
      <c r="A48" s="34">
        <v>45657</v>
      </c>
      <c r="B48" s="20" t="s">
        <v>107</v>
      </c>
      <c r="C48" s="20" t="s">
        <v>108</v>
      </c>
      <c r="D48" s="20" t="s">
        <v>111</v>
      </c>
      <c r="E48" s="20" t="s">
        <v>112</v>
      </c>
      <c r="F48" s="34">
        <v>45670</v>
      </c>
      <c r="G48" s="34">
        <v>45309</v>
      </c>
      <c r="H48" s="20">
        <v>9</v>
      </c>
      <c r="I48" s="20" t="s">
        <v>80</v>
      </c>
      <c r="J48" s="24">
        <v>500000</v>
      </c>
      <c r="K48" s="24">
        <v>543500</v>
      </c>
      <c r="L48" s="39">
        <f t="shared" si="0"/>
        <v>0.09</v>
      </c>
      <c r="M48" s="38" t="s">
        <v>37</v>
      </c>
      <c r="P48" s="43"/>
    </row>
    <row r="49" spans="1:16" x14ac:dyDescent="0.3">
      <c r="A49" s="34">
        <v>45657</v>
      </c>
      <c r="B49" s="20" t="s">
        <v>107</v>
      </c>
      <c r="C49" s="20" t="s">
        <v>108</v>
      </c>
      <c r="D49" s="20" t="s">
        <v>97</v>
      </c>
      <c r="E49" s="20" t="s">
        <v>98</v>
      </c>
      <c r="F49" s="34">
        <v>45712</v>
      </c>
      <c r="G49" s="34">
        <v>45530</v>
      </c>
      <c r="H49" s="20">
        <v>11</v>
      </c>
      <c r="I49" s="20" t="s">
        <v>80</v>
      </c>
      <c r="J49" s="24">
        <v>200000</v>
      </c>
      <c r="K49" s="24">
        <v>207761.11</v>
      </c>
      <c r="L49" s="39">
        <f t="shared" si="0"/>
        <v>0.11</v>
      </c>
      <c r="M49" s="38" t="s">
        <v>37</v>
      </c>
      <c r="P49" s="43"/>
    </row>
    <row r="50" spans="1:16" x14ac:dyDescent="0.3">
      <c r="A50" s="34">
        <v>45657</v>
      </c>
      <c r="B50" s="20" t="s">
        <v>107</v>
      </c>
      <c r="C50" s="20" t="s">
        <v>108</v>
      </c>
      <c r="D50" s="20" t="s">
        <v>78</v>
      </c>
      <c r="E50" s="20" t="s">
        <v>79</v>
      </c>
      <c r="F50" s="34">
        <v>45712</v>
      </c>
      <c r="G50" s="34">
        <v>45621</v>
      </c>
      <c r="H50" s="20">
        <v>12</v>
      </c>
      <c r="I50" s="20" t="s">
        <v>80</v>
      </c>
      <c r="J50" s="24">
        <v>30500</v>
      </c>
      <c r="K50" s="24">
        <v>30866</v>
      </c>
      <c r="L50" s="39">
        <f t="shared" si="0"/>
        <v>0.12</v>
      </c>
      <c r="M50" s="38" t="s">
        <v>37</v>
      </c>
      <c r="P50" s="43"/>
    </row>
    <row r="51" spans="1:16" x14ac:dyDescent="0.3">
      <c r="A51" s="34">
        <v>45657</v>
      </c>
      <c r="B51" s="20" t="s">
        <v>107</v>
      </c>
      <c r="C51" s="20" t="s">
        <v>108</v>
      </c>
      <c r="D51" s="20" t="s">
        <v>113</v>
      </c>
      <c r="E51" s="20" t="s">
        <v>114</v>
      </c>
      <c r="F51" s="34">
        <v>45663</v>
      </c>
      <c r="G51" s="34">
        <v>45481</v>
      </c>
      <c r="H51" s="20">
        <v>15</v>
      </c>
      <c r="I51" s="20" t="s">
        <v>45</v>
      </c>
      <c r="J51" s="24">
        <v>300000</v>
      </c>
      <c r="K51" s="24">
        <v>322000</v>
      </c>
      <c r="L51" s="39">
        <f t="shared" si="0"/>
        <v>0.15</v>
      </c>
      <c r="M51" s="38" t="s">
        <v>37</v>
      </c>
      <c r="P51" s="43"/>
    </row>
    <row r="52" spans="1:16" x14ac:dyDescent="0.3">
      <c r="A52" s="34">
        <v>45657</v>
      </c>
      <c r="B52" s="20" t="s">
        <v>107</v>
      </c>
      <c r="C52" s="20" t="s">
        <v>108</v>
      </c>
      <c r="D52" s="20" t="s">
        <v>115</v>
      </c>
      <c r="E52" s="20" t="s">
        <v>116</v>
      </c>
      <c r="F52" s="34">
        <v>45859</v>
      </c>
      <c r="G52" s="34">
        <v>45497</v>
      </c>
      <c r="H52" s="20">
        <v>20</v>
      </c>
      <c r="I52" s="20" t="s">
        <v>45</v>
      </c>
      <c r="J52" s="24">
        <v>250000</v>
      </c>
      <c r="K52" s="24">
        <v>272222.21999999997</v>
      </c>
      <c r="L52" s="39">
        <f t="shared" si="0"/>
        <v>0.2</v>
      </c>
      <c r="M52" s="38" t="s">
        <v>37</v>
      </c>
      <c r="P52" s="43"/>
    </row>
    <row r="53" spans="1:16" x14ac:dyDescent="0.3">
      <c r="A53" s="34">
        <v>45657</v>
      </c>
      <c r="B53" s="20" t="s">
        <v>107</v>
      </c>
      <c r="C53" s="20" t="s">
        <v>108</v>
      </c>
      <c r="D53" s="20" t="s">
        <v>43</v>
      </c>
      <c r="E53" s="20" t="s">
        <v>44</v>
      </c>
      <c r="F53" s="34">
        <v>45789</v>
      </c>
      <c r="G53" s="34">
        <v>45607</v>
      </c>
      <c r="H53" s="20">
        <v>20</v>
      </c>
      <c r="I53" s="20" t="s">
        <v>45</v>
      </c>
      <c r="J53" s="24">
        <v>79000</v>
      </c>
      <c r="K53" s="24">
        <v>81194.44</v>
      </c>
      <c r="L53" s="39">
        <f t="shared" si="0"/>
        <v>0.2</v>
      </c>
      <c r="M53" s="38" t="s">
        <v>37</v>
      </c>
      <c r="P53" s="43"/>
    </row>
    <row r="54" spans="1:16" x14ac:dyDescent="0.3">
      <c r="A54" s="34">
        <v>45657</v>
      </c>
      <c r="B54" s="20" t="s">
        <v>107</v>
      </c>
      <c r="C54" s="20" t="s">
        <v>108</v>
      </c>
      <c r="D54" s="20" t="s">
        <v>117</v>
      </c>
      <c r="E54" s="20" t="s">
        <v>118</v>
      </c>
      <c r="F54" s="34">
        <v>45824</v>
      </c>
      <c r="G54" s="34">
        <v>45642</v>
      </c>
      <c r="H54" s="20">
        <v>15</v>
      </c>
      <c r="I54" s="20" t="s">
        <v>45</v>
      </c>
      <c r="J54" s="24">
        <v>200000</v>
      </c>
      <c r="K54" s="24">
        <v>201250</v>
      </c>
      <c r="L54" s="39">
        <f t="shared" si="0"/>
        <v>0.15</v>
      </c>
      <c r="M54" s="38" t="s">
        <v>37</v>
      </c>
      <c r="P54" s="43"/>
    </row>
    <row r="55" spans="1:16" x14ac:dyDescent="0.3">
      <c r="A55" s="34">
        <v>45657</v>
      </c>
      <c r="B55" s="20" t="s">
        <v>107</v>
      </c>
      <c r="C55" s="20" t="s">
        <v>108</v>
      </c>
      <c r="D55" s="20" t="s">
        <v>81</v>
      </c>
      <c r="E55" s="20" t="s">
        <v>82</v>
      </c>
      <c r="F55" s="34">
        <v>46010</v>
      </c>
      <c r="G55" s="34">
        <v>45650</v>
      </c>
      <c r="H55" s="20">
        <v>15</v>
      </c>
      <c r="I55" s="20" t="s">
        <v>83</v>
      </c>
      <c r="J55" s="24">
        <v>220000</v>
      </c>
      <c r="K55" s="24">
        <v>220632.88</v>
      </c>
      <c r="L55" s="39">
        <f t="shared" si="0"/>
        <v>0.15</v>
      </c>
      <c r="M55" s="38" t="s">
        <v>37</v>
      </c>
      <c r="P55" s="43"/>
    </row>
    <row r="56" spans="1:16" x14ac:dyDescent="0.3">
      <c r="A56" s="34">
        <v>45657</v>
      </c>
      <c r="B56" s="20" t="s">
        <v>107</v>
      </c>
      <c r="C56" s="20" t="s">
        <v>108</v>
      </c>
      <c r="D56" s="20" t="s">
        <v>119</v>
      </c>
      <c r="E56" s="20" t="s">
        <v>120</v>
      </c>
      <c r="F56" s="34">
        <v>45741</v>
      </c>
      <c r="G56" s="34">
        <v>45559</v>
      </c>
      <c r="H56" s="20">
        <v>12</v>
      </c>
      <c r="I56" s="20" t="s">
        <v>36</v>
      </c>
      <c r="J56" s="24">
        <v>500000</v>
      </c>
      <c r="K56" s="24">
        <v>516333.33</v>
      </c>
      <c r="L56" s="39">
        <f t="shared" si="0"/>
        <v>0.12</v>
      </c>
      <c r="M56" s="38" t="s">
        <v>37</v>
      </c>
      <c r="P56" s="43"/>
    </row>
    <row r="57" spans="1:16" x14ac:dyDescent="0.3">
      <c r="A57" s="34">
        <v>45657</v>
      </c>
      <c r="B57" s="20" t="s">
        <v>107</v>
      </c>
      <c r="C57" s="20" t="s">
        <v>108</v>
      </c>
      <c r="D57" s="20" t="s">
        <v>121</v>
      </c>
      <c r="E57" s="20" t="s">
        <v>122</v>
      </c>
      <c r="F57" s="34">
        <v>45755</v>
      </c>
      <c r="G57" s="34">
        <v>45574</v>
      </c>
      <c r="H57" s="20">
        <v>12</v>
      </c>
      <c r="I57" s="20" t="s">
        <v>36</v>
      </c>
      <c r="J57" s="24">
        <v>111700</v>
      </c>
      <c r="K57" s="24">
        <v>114790.37</v>
      </c>
      <c r="L57" s="39">
        <f t="shared" si="0"/>
        <v>0.12</v>
      </c>
      <c r="M57" s="38" t="s">
        <v>37</v>
      </c>
      <c r="P57" s="43"/>
    </row>
    <row r="58" spans="1:16" x14ac:dyDescent="0.3">
      <c r="A58" s="34">
        <v>45657</v>
      </c>
      <c r="B58" s="20" t="s">
        <v>107</v>
      </c>
      <c r="C58" s="20" t="s">
        <v>108</v>
      </c>
      <c r="D58" s="20" t="s">
        <v>86</v>
      </c>
      <c r="E58" s="20" t="s">
        <v>87</v>
      </c>
      <c r="F58" s="34">
        <v>45761</v>
      </c>
      <c r="G58" s="34">
        <v>45579</v>
      </c>
      <c r="H58" s="20">
        <v>12</v>
      </c>
      <c r="I58" s="20" t="s">
        <v>88</v>
      </c>
      <c r="J58" s="24">
        <v>400000</v>
      </c>
      <c r="K58" s="24">
        <v>410400</v>
      </c>
      <c r="L58" s="39">
        <f t="shared" si="0"/>
        <v>0.12</v>
      </c>
      <c r="M58" s="38" t="s">
        <v>37</v>
      </c>
      <c r="P58" s="43"/>
    </row>
    <row r="59" spans="1:16" x14ac:dyDescent="0.3">
      <c r="A59" s="34">
        <v>45657</v>
      </c>
      <c r="B59" s="20" t="s">
        <v>107</v>
      </c>
      <c r="C59" s="20" t="s">
        <v>108</v>
      </c>
      <c r="D59" s="20" t="s">
        <v>123</v>
      </c>
      <c r="E59" s="20" t="s">
        <v>124</v>
      </c>
      <c r="F59" s="34">
        <v>45804</v>
      </c>
      <c r="G59" s="34">
        <v>45621</v>
      </c>
      <c r="H59" s="20">
        <v>15</v>
      </c>
      <c r="I59" s="20" t="s">
        <v>88</v>
      </c>
      <c r="J59" s="24">
        <v>100000</v>
      </c>
      <c r="K59" s="24">
        <v>101500</v>
      </c>
      <c r="L59" s="39">
        <f t="shared" si="0"/>
        <v>0.15</v>
      </c>
      <c r="M59" s="38" t="s">
        <v>37</v>
      </c>
      <c r="P59" s="43"/>
    </row>
    <row r="60" spans="1:16" x14ac:dyDescent="0.3">
      <c r="A60" s="34">
        <v>45657</v>
      </c>
      <c r="B60" s="20" t="s">
        <v>107</v>
      </c>
      <c r="C60" s="20" t="s">
        <v>108</v>
      </c>
      <c r="D60" s="20" t="s">
        <v>125</v>
      </c>
      <c r="E60" s="20" t="s">
        <v>126</v>
      </c>
      <c r="F60" s="34">
        <v>45817</v>
      </c>
      <c r="G60" s="34">
        <v>45635</v>
      </c>
      <c r="H60" s="20">
        <v>15</v>
      </c>
      <c r="I60" s="20" t="s">
        <v>88</v>
      </c>
      <c r="J60" s="24">
        <v>150000</v>
      </c>
      <c r="K60" s="24">
        <v>151375</v>
      </c>
      <c r="L60" s="39">
        <f t="shared" si="0"/>
        <v>0.15</v>
      </c>
      <c r="M60" s="38" t="s">
        <v>37</v>
      </c>
      <c r="P60" s="43"/>
    </row>
    <row r="61" spans="1:16" x14ac:dyDescent="0.3">
      <c r="A61" s="34">
        <v>45657</v>
      </c>
      <c r="B61" s="20" t="s">
        <v>107</v>
      </c>
      <c r="C61" s="20" t="s">
        <v>108</v>
      </c>
      <c r="D61" s="20" t="s">
        <v>93</v>
      </c>
      <c r="E61" s="20" t="s">
        <v>94</v>
      </c>
      <c r="F61" s="34">
        <v>45726</v>
      </c>
      <c r="G61" s="34">
        <v>45635</v>
      </c>
      <c r="H61" s="20">
        <v>11</v>
      </c>
      <c r="I61" s="20" t="s">
        <v>88</v>
      </c>
      <c r="J61" s="24">
        <v>270000</v>
      </c>
      <c r="K61" s="24">
        <v>271815</v>
      </c>
      <c r="L61" s="39">
        <f t="shared" si="0"/>
        <v>0.11</v>
      </c>
      <c r="M61" s="38" t="s">
        <v>37</v>
      </c>
      <c r="P61" s="43"/>
    </row>
    <row r="62" spans="1:16" x14ac:dyDescent="0.3">
      <c r="A62" s="34">
        <v>45657</v>
      </c>
      <c r="B62" s="20" t="s">
        <v>107</v>
      </c>
      <c r="C62" s="20" t="s">
        <v>108</v>
      </c>
      <c r="D62" s="20" t="s">
        <v>127</v>
      </c>
      <c r="E62" s="20" t="s">
        <v>128</v>
      </c>
      <c r="F62" s="34">
        <v>46020</v>
      </c>
      <c r="G62" s="34">
        <v>45656</v>
      </c>
      <c r="H62" s="20">
        <v>20</v>
      </c>
      <c r="I62" s="20" t="s">
        <v>88</v>
      </c>
      <c r="J62" s="24">
        <v>300000</v>
      </c>
      <c r="K62" s="24">
        <v>300166.67</v>
      </c>
      <c r="L62" s="39">
        <f t="shared" si="0"/>
        <v>0.2</v>
      </c>
      <c r="M62" s="38" t="s">
        <v>37</v>
      </c>
      <c r="P62" s="43"/>
    </row>
    <row r="63" spans="1:16" x14ac:dyDescent="0.3">
      <c r="A63" s="34">
        <v>45657</v>
      </c>
      <c r="B63" s="20" t="s">
        <v>107</v>
      </c>
      <c r="C63" s="20" t="s">
        <v>108</v>
      </c>
      <c r="D63" s="20" t="s">
        <v>129</v>
      </c>
      <c r="E63" s="20" t="s">
        <v>130</v>
      </c>
      <c r="F63" s="34">
        <v>45740</v>
      </c>
      <c r="G63" s="34">
        <v>45560</v>
      </c>
      <c r="H63" s="20">
        <v>16</v>
      </c>
      <c r="I63" s="20" t="s">
        <v>131</v>
      </c>
      <c r="J63" s="24">
        <v>500000</v>
      </c>
      <c r="K63" s="24">
        <v>521555.56</v>
      </c>
      <c r="L63" s="39">
        <f t="shared" si="0"/>
        <v>0.16</v>
      </c>
      <c r="M63" s="38" t="s">
        <v>37</v>
      </c>
      <c r="P63" s="43"/>
    </row>
    <row r="64" spans="1:16" x14ac:dyDescent="0.3">
      <c r="A64" s="34">
        <v>45657</v>
      </c>
      <c r="B64" s="20" t="s">
        <v>107</v>
      </c>
      <c r="C64" s="20" t="s">
        <v>108</v>
      </c>
      <c r="D64" s="20" t="s">
        <v>132</v>
      </c>
      <c r="E64" s="20" t="s">
        <v>133</v>
      </c>
      <c r="F64" s="34">
        <v>45663</v>
      </c>
      <c r="G64" s="34">
        <v>45623</v>
      </c>
      <c r="H64" s="20">
        <v>10</v>
      </c>
      <c r="I64" s="20" t="s">
        <v>59</v>
      </c>
      <c r="J64" s="24">
        <v>200000</v>
      </c>
      <c r="K64" s="24">
        <v>201888.89</v>
      </c>
      <c r="L64" s="39">
        <f t="shared" si="0"/>
        <v>0.1</v>
      </c>
      <c r="M64" s="38" t="s">
        <v>37</v>
      </c>
      <c r="P64" s="43"/>
    </row>
    <row r="65" spans="1:16" x14ac:dyDescent="0.3">
      <c r="A65" s="34">
        <v>45657</v>
      </c>
      <c r="B65" s="20" t="s">
        <v>107</v>
      </c>
      <c r="C65" s="20" t="s">
        <v>108</v>
      </c>
      <c r="D65" s="20" t="s">
        <v>134</v>
      </c>
      <c r="E65" s="20" t="s">
        <v>135</v>
      </c>
      <c r="F65" s="34">
        <v>45810</v>
      </c>
      <c r="G65" s="34">
        <v>45629</v>
      </c>
      <c r="H65" s="20">
        <v>12</v>
      </c>
      <c r="I65" s="20" t="s">
        <v>59</v>
      </c>
      <c r="J65" s="24">
        <v>500000</v>
      </c>
      <c r="K65" s="24">
        <v>504666.67</v>
      </c>
      <c r="L65" s="39">
        <f t="shared" si="0"/>
        <v>0.12</v>
      </c>
      <c r="M65" s="38" t="s">
        <v>37</v>
      </c>
      <c r="P65" s="43"/>
    </row>
    <row r="66" spans="1:16" x14ac:dyDescent="0.3">
      <c r="A66" s="34">
        <v>45657</v>
      </c>
      <c r="B66" s="20" t="s">
        <v>107</v>
      </c>
      <c r="C66" s="20" t="s">
        <v>108</v>
      </c>
      <c r="D66" s="20" t="s">
        <v>136</v>
      </c>
      <c r="E66" s="20" t="s">
        <v>137</v>
      </c>
      <c r="F66" s="34">
        <v>45824</v>
      </c>
      <c r="G66" s="34">
        <v>45642</v>
      </c>
      <c r="H66" s="20">
        <v>12</v>
      </c>
      <c r="I66" s="20" t="s">
        <v>59</v>
      </c>
      <c r="J66" s="24">
        <v>500000</v>
      </c>
      <c r="K66" s="24">
        <v>502500</v>
      </c>
      <c r="L66" s="39">
        <f t="shared" si="0"/>
        <v>0.12</v>
      </c>
      <c r="M66" s="38" t="s">
        <v>37</v>
      </c>
      <c r="P66" s="43"/>
    </row>
    <row r="67" spans="1:16" x14ac:dyDescent="0.3">
      <c r="A67" s="34">
        <v>45657</v>
      </c>
      <c r="B67" s="20" t="s">
        <v>107</v>
      </c>
      <c r="C67" s="20" t="s">
        <v>108</v>
      </c>
      <c r="D67" s="20" t="s">
        <v>62</v>
      </c>
      <c r="E67" s="20" t="s">
        <v>63</v>
      </c>
      <c r="F67" s="34">
        <v>45793</v>
      </c>
      <c r="G67" s="34">
        <v>45610</v>
      </c>
      <c r="H67" s="20">
        <v>10</v>
      </c>
      <c r="I67" s="20" t="s">
        <v>64</v>
      </c>
      <c r="J67" s="24">
        <v>95300</v>
      </c>
      <c r="K67" s="24">
        <v>96544.19</v>
      </c>
      <c r="L67" s="39">
        <f t="shared" ref="L67:L89" si="1">+H67/100</f>
        <v>0.1</v>
      </c>
      <c r="M67" s="38" t="s">
        <v>37</v>
      </c>
      <c r="P67" s="43"/>
    </row>
    <row r="68" spans="1:16" x14ac:dyDescent="0.3">
      <c r="A68" s="34">
        <v>45657</v>
      </c>
      <c r="B68" s="20" t="s">
        <v>138</v>
      </c>
      <c r="C68" s="20" t="s">
        <v>139</v>
      </c>
      <c r="D68" s="20" t="s">
        <v>43</v>
      </c>
      <c r="E68" s="20" t="s">
        <v>44</v>
      </c>
      <c r="F68" s="34">
        <v>45789</v>
      </c>
      <c r="G68" s="34">
        <v>45607</v>
      </c>
      <c r="H68" s="20">
        <v>20</v>
      </c>
      <c r="I68" s="20" t="s">
        <v>45</v>
      </c>
      <c r="J68" s="24">
        <v>9000</v>
      </c>
      <c r="K68" s="24">
        <v>9250</v>
      </c>
      <c r="L68" s="39">
        <f t="shared" si="1"/>
        <v>0.2</v>
      </c>
      <c r="M68" s="38" t="s">
        <v>37</v>
      </c>
      <c r="P68" s="43"/>
    </row>
    <row r="69" spans="1:16" x14ac:dyDescent="0.3">
      <c r="A69" s="34">
        <v>45657</v>
      </c>
      <c r="B69" s="20" t="s">
        <v>140</v>
      </c>
      <c r="C69" s="20" t="s">
        <v>141</v>
      </c>
      <c r="D69" s="20" t="s">
        <v>34</v>
      </c>
      <c r="E69" s="20" t="s">
        <v>35</v>
      </c>
      <c r="F69" s="34">
        <v>45770</v>
      </c>
      <c r="G69" s="34">
        <v>45590</v>
      </c>
      <c r="H69" s="20">
        <v>12</v>
      </c>
      <c r="I69" s="20" t="s">
        <v>36</v>
      </c>
      <c r="J69" s="24">
        <v>2900</v>
      </c>
      <c r="K69" s="24">
        <v>2964.77</v>
      </c>
      <c r="L69" s="39">
        <f t="shared" si="1"/>
        <v>0.12</v>
      </c>
      <c r="M69" s="38" t="s">
        <v>37</v>
      </c>
      <c r="P69" s="43"/>
    </row>
    <row r="70" spans="1:16" x14ac:dyDescent="0.3">
      <c r="A70" s="34">
        <v>45657</v>
      </c>
      <c r="B70" s="20" t="s">
        <v>142</v>
      </c>
      <c r="C70" s="20" t="s">
        <v>143</v>
      </c>
      <c r="D70" s="20" t="s">
        <v>40</v>
      </c>
      <c r="E70" s="20" t="s">
        <v>41</v>
      </c>
      <c r="F70" s="34">
        <v>45700</v>
      </c>
      <c r="G70" s="34">
        <v>45610</v>
      </c>
      <c r="H70" s="20">
        <v>10</v>
      </c>
      <c r="I70" s="20" t="s">
        <v>42</v>
      </c>
      <c r="J70" s="24">
        <v>7362.35</v>
      </c>
      <c r="K70" s="24">
        <v>7458.47</v>
      </c>
      <c r="L70" s="39">
        <f t="shared" si="1"/>
        <v>0.1</v>
      </c>
      <c r="M70" s="38" t="s">
        <v>37</v>
      </c>
      <c r="P70" s="43"/>
    </row>
    <row r="71" spans="1:16" x14ac:dyDescent="0.3">
      <c r="A71" s="34">
        <v>45657</v>
      </c>
      <c r="B71" s="20" t="s">
        <v>142</v>
      </c>
      <c r="C71" s="20" t="s">
        <v>143</v>
      </c>
      <c r="D71" s="20" t="s">
        <v>43</v>
      </c>
      <c r="E71" s="20" t="s">
        <v>44</v>
      </c>
      <c r="F71" s="34">
        <v>45789</v>
      </c>
      <c r="G71" s="34">
        <v>45607</v>
      </c>
      <c r="H71" s="20">
        <v>20</v>
      </c>
      <c r="I71" s="20" t="s">
        <v>45</v>
      </c>
      <c r="J71" s="24">
        <v>4000</v>
      </c>
      <c r="K71" s="24">
        <v>4111.1099999999997</v>
      </c>
      <c r="L71" s="39">
        <f t="shared" si="1"/>
        <v>0.2</v>
      </c>
      <c r="M71" s="38" t="s">
        <v>37</v>
      </c>
      <c r="P71" s="43"/>
    </row>
    <row r="72" spans="1:16" x14ac:dyDescent="0.3">
      <c r="A72" s="34">
        <v>45657</v>
      </c>
      <c r="B72" s="20" t="s">
        <v>142</v>
      </c>
      <c r="C72" s="20" t="s">
        <v>143</v>
      </c>
      <c r="D72" s="20" t="s">
        <v>34</v>
      </c>
      <c r="E72" s="20" t="s">
        <v>35</v>
      </c>
      <c r="F72" s="34">
        <v>45770</v>
      </c>
      <c r="G72" s="34">
        <v>45590</v>
      </c>
      <c r="H72" s="20">
        <v>12</v>
      </c>
      <c r="I72" s="20" t="s">
        <v>36</v>
      </c>
      <c r="J72" s="24">
        <v>17000</v>
      </c>
      <c r="K72" s="24">
        <v>17379.669999999998</v>
      </c>
      <c r="L72" s="39">
        <f t="shared" si="1"/>
        <v>0.12</v>
      </c>
      <c r="M72" s="38" t="s">
        <v>37</v>
      </c>
      <c r="P72" s="43"/>
    </row>
    <row r="73" spans="1:16" x14ac:dyDescent="0.3">
      <c r="A73" s="34">
        <v>45657</v>
      </c>
      <c r="B73" s="20" t="s">
        <v>144</v>
      </c>
      <c r="C73" s="20" t="s">
        <v>145</v>
      </c>
      <c r="D73" s="20" t="s">
        <v>40</v>
      </c>
      <c r="E73" s="20" t="s">
        <v>41</v>
      </c>
      <c r="F73" s="34">
        <v>45700</v>
      </c>
      <c r="G73" s="34">
        <v>45610</v>
      </c>
      <c r="H73" s="20">
        <v>10</v>
      </c>
      <c r="I73" s="20" t="s">
        <v>42</v>
      </c>
      <c r="J73" s="24">
        <v>16828.22</v>
      </c>
      <c r="K73" s="24">
        <v>17047.919999999998</v>
      </c>
      <c r="L73" s="39">
        <f t="shared" si="1"/>
        <v>0.1</v>
      </c>
      <c r="M73" s="38" t="s">
        <v>37</v>
      </c>
      <c r="P73" s="43"/>
    </row>
    <row r="74" spans="1:16" x14ac:dyDescent="0.3">
      <c r="A74" s="34">
        <v>45657</v>
      </c>
      <c r="B74" s="20" t="s">
        <v>144</v>
      </c>
      <c r="C74" s="20" t="s">
        <v>145</v>
      </c>
      <c r="D74" s="20" t="s">
        <v>43</v>
      </c>
      <c r="E74" s="20" t="s">
        <v>44</v>
      </c>
      <c r="F74" s="34">
        <v>45789</v>
      </c>
      <c r="G74" s="34">
        <v>45607</v>
      </c>
      <c r="H74" s="20">
        <v>20</v>
      </c>
      <c r="I74" s="20" t="s">
        <v>45</v>
      </c>
      <c r="J74" s="24">
        <v>23000</v>
      </c>
      <c r="K74" s="24">
        <v>23638.89</v>
      </c>
      <c r="L74" s="39">
        <f t="shared" si="1"/>
        <v>0.2</v>
      </c>
      <c r="M74" s="38" t="s">
        <v>37</v>
      </c>
      <c r="P74" s="43"/>
    </row>
    <row r="75" spans="1:16" x14ac:dyDescent="0.3">
      <c r="A75" s="34">
        <v>45657</v>
      </c>
      <c r="B75" s="20" t="s">
        <v>146</v>
      </c>
      <c r="C75" s="20" t="s">
        <v>147</v>
      </c>
      <c r="D75" s="20" t="s">
        <v>121</v>
      </c>
      <c r="E75" s="20" t="s">
        <v>122</v>
      </c>
      <c r="F75" s="34">
        <v>45755</v>
      </c>
      <c r="G75" s="34">
        <v>45574</v>
      </c>
      <c r="H75" s="20">
        <v>12</v>
      </c>
      <c r="I75" s="20" t="s">
        <v>36</v>
      </c>
      <c r="J75" s="24">
        <v>88000</v>
      </c>
      <c r="K75" s="24">
        <v>90434.67</v>
      </c>
      <c r="L75" s="39">
        <f t="shared" si="1"/>
        <v>0.12</v>
      </c>
      <c r="M75" s="38" t="s">
        <v>37</v>
      </c>
      <c r="P75" s="43"/>
    </row>
    <row r="76" spans="1:16" x14ac:dyDescent="0.3">
      <c r="A76" s="34">
        <v>45657</v>
      </c>
      <c r="B76" s="20" t="s">
        <v>146</v>
      </c>
      <c r="C76" s="20" t="s">
        <v>147</v>
      </c>
      <c r="D76" s="20" t="s">
        <v>34</v>
      </c>
      <c r="E76" s="20" t="s">
        <v>35</v>
      </c>
      <c r="F76" s="34">
        <v>45770</v>
      </c>
      <c r="G76" s="34">
        <v>45590</v>
      </c>
      <c r="H76" s="20">
        <v>12</v>
      </c>
      <c r="I76" s="20" t="s">
        <v>36</v>
      </c>
      <c r="J76" s="24">
        <v>25400</v>
      </c>
      <c r="K76" s="24">
        <v>25967.27</v>
      </c>
      <c r="L76" s="39">
        <f t="shared" si="1"/>
        <v>0.12</v>
      </c>
      <c r="M76" s="38" t="s">
        <v>37</v>
      </c>
      <c r="P76" s="43"/>
    </row>
    <row r="77" spans="1:16" x14ac:dyDescent="0.3">
      <c r="A77" s="34">
        <v>45657</v>
      </c>
      <c r="B77" s="20" t="s">
        <v>146</v>
      </c>
      <c r="C77" s="20" t="s">
        <v>147</v>
      </c>
      <c r="D77" s="20" t="s">
        <v>148</v>
      </c>
      <c r="E77" s="20" t="s">
        <v>149</v>
      </c>
      <c r="F77" s="34">
        <v>45712</v>
      </c>
      <c r="G77" s="34">
        <v>45622</v>
      </c>
      <c r="H77" s="20">
        <v>9</v>
      </c>
      <c r="I77" s="20" t="s">
        <v>59</v>
      </c>
      <c r="J77" s="24">
        <v>63190.5</v>
      </c>
      <c r="K77" s="24">
        <v>63743.42</v>
      </c>
      <c r="L77" s="39">
        <f t="shared" si="1"/>
        <v>0.09</v>
      </c>
      <c r="M77" s="38" t="s">
        <v>37</v>
      </c>
      <c r="P77" s="43"/>
    </row>
    <row r="78" spans="1:16" x14ac:dyDescent="0.3">
      <c r="A78" s="34">
        <v>45657</v>
      </c>
      <c r="B78" s="20" t="s">
        <v>146</v>
      </c>
      <c r="C78" s="20" t="s">
        <v>147</v>
      </c>
      <c r="D78" s="20" t="s">
        <v>60</v>
      </c>
      <c r="E78" s="20" t="s">
        <v>61</v>
      </c>
      <c r="F78" s="34">
        <v>45674</v>
      </c>
      <c r="G78" s="34">
        <v>45644</v>
      </c>
      <c r="H78" s="20">
        <v>9</v>
      </c>
      <c r="I78" s="20" t="s">
        <v>59</v>
      </c>
      <c r="J78" s="24">
        <v>30207.08</v>
      </c>
      <c r="K78" s="24">
        <v>30305.25</v>
      </c>
      <c r="L78" s="39">
        <f t="shared" si="1"/>
        <v>0.09</v>
      </c>
      <c r="M78" s="38" t="s">
        <v>37</v>
      </c>
      <c r="P78" s="43"/>
    </row>
    <row r="79" spans="1:16" x14ac:dyDescent="0.3">
      <c r="A79" s="34">
        <v>45657</v>
      </c>
      <c r="B79" s="20" t="s">
        <v>150</v>
      </c>
      <c r="C79" s="20" t="s">
        <v>151</v>
      </c>
      <c r="D79" s="20" t="s">
        <v>152</v>
      </c>
      <c r="E79" s="20" t="s">
        <v>153</v>
      </c>
      <c r="F79" s="34">
        <v>45678</v>
      </c>
      <c r="G79" s="34">
        <v>45643</v>
      </c>
      <c r="H79" s="20">
        <v>5</v>
      </c>
      <c r="I79" s="20" t="s">
        <v>154</v>
      </c>
      <c r="J79" s="24">
        <v>3191.23</v>
      </c>
      <c r="K79" s="24">
        <v>3197.44</v>
      </c>
      <c r="L79" s="39">
        <f t="shared" si="1"/>
        <v>0.05</v>
      </c>
      <c r="M79" s="38" t="s">
        <v>37</v>
      </c>
      <c r="P79" s="43"/>
    </row>
    <row r="80" spans="1:16" x14ac:dyDescent="0.3">
      <c r="A80" s="34">
        <v>45657</v>
      </c>
      <c r="B80" s="20" t="s">
        <v>150</v>
      </c>
      <c r="C80" s="20" t="s">
        <v>151</v>
      </c>
      <c r="D80" s="20" t="s">
        <v>34</v>
      </c>
      <c r="E80" s="20" t="s">
        <v>35</v>
      </c>
      <c r="F80" s="34">
        <v>45770</v>
      </c>
      <c r="G80" s="34">
        <v>45590</v>
      </c>
      <c r="H80" s="20">
        <v>12</v>
      </c>
      <c r="I80" s="20" t="s">
        <v>36</v>
      </c>
      <c r="J80" s="24">
        <v>8300</v>
      </c>
      <c r="K80" s="24">
        <v>8485.3700000000008</v>
      </c>
      <c r="L80" s="39">
        <f t="shared" si="1"/>
        <v>0.12</v>
      </c>
      <c r="M80" s="38" t="s">
        <v>37</v>
      </c>
      <c r="P80" s="43"/>
    </row>
    <row r="81" spans="1:16" x14ac:dyDescent="0.3">
      <c r="A81" s="34">
        <v>45657</v>
      </c>
      <c r="B81" s="20" t="s">
        <v>155</v>
      </c>
      <c r="C81" s="20" t="s">
        <v>156</v>
      </c>
      <c r="D81" s="20" t="s">
        <v>157</v>
      </c>
      <c r="E81" s="20" t="s">
        <v>158</v>
      </c>
      <c r="F81" s="34">
        <v>45670</v>
      </c>
      <c r="G81" s="34">
        <v>45580</v>
      </c>
      <c r="H81" s="20">
        <v>7</v>
      </c>
      <c r="I81" s="20" t="s">
        <v>154</v>
      </c>
      <c r="J81" s="24">
        <v>4440113.32</v>
      </c>
      <c r="K81" s="24">
        <v>4506591.68</v>
      </c>
      <c r="L81" s="39">
        <f t="shared" si="1"/>
        <v>7.0000000000000007E-2</v>
      </c>
      <c r="M81" s="38" t="s">
        <v>37</v>
      </c>
      <c r="P81" s="43"/>
    </row>
    <row r="82" spans="1:16" x14ac:dyDescent="0.3">
      <c r="A82" s="34">
        <v>45657</v>
      </c>
      <c r="B82" s="20" t="s">
        <v>155</v>
      </c>
      <c r="C82" s="20" t="s">
        <v>156</v>
      </c>
      <c r="D82" s="20" t="s">
        <v>159</v>
      </c>
      <c r="E82" s="20" t="s">
        <v>160</v>
      </c>
      <c r="F82" s="34">
        <v>45673</v>
      </c>
      <c r="G82" s="34">
        <v>45616</v>
      </c>
      <c r="H82" s="20">
        <v>5</v>
      </c>
      <c r="I82" s="20" t="s">
        <v>154</v>
      </c>
      <c r="J82" s="24">
        <v>572780.26</v>
      </c>
      <c r="K82" s="24">
        <v>576041.93000000005</v>
      </c>
      <c r="L82" s="39">
        <f t="shared" si="1"/>
        <v>0.05</v>
      </c>
      <c r="M82" s="38" t="s">
        <v>37</v>
      </c>
      <c r="P82" s="43"/>
    </row>
    <row r="83" spans="1:16" x14ac:dyDescent="0.3">
      <c r="A83" s="34">
        <v>45657</v>
      </c>
      <c r="B83" s="20" t="s">
        <v>155</v>
      </c>
      <c r="C83" s="20" t="s">
        <v>156</v>
      </c>
      <c r="D83" s="20" t="s">
        <v>161</v>
      </c>
      <c r="E83" s="20" t="s">
        <v>162</v>
      </c>
      <c r="F83" s="34">
        <v>45665</v>
      </c>
      <c r="G83" s="34">
        <v>45617</v>
      </c>
      <c r="H83" s="20">
        <v>5</v>
      </c>
      <c r="I83" s="20" t="s">
        <v>154</v>
      </c>
      <c r="J83" s="24">
        <v>603800</v>
      </c>
      <c r="K83" s="24">
        <v>607154.43999999994</v>
      </c>
      <c r="L83" s="39">
        <f t="shared" si="1"/>
        <v>0.05</v>
      </c>
      <c r="M83" s="38" t="s">
        <v>37</v>
      </c>
      <c r="P83" s="43"/>
    </row>
    <row r="84" spans="1:16" x14ac:dyDescent="0.3">
      <c r="A84" s="34">
        <v>45657</v>
      </c>
      <c r="B84" s="20" t="s">
        <v>155</v>
      </c>
      <c r="C84" s="20" t="s">
        <v>156</v>
      </c>
      <c r="D84" s="20" t="s">
        <v>163</v>
      </c>
      <c r="E84" s="20" t="s">
        <v>164</v>
      </c>
      <c r="F84" s="34">
        <v>45664</v>
      </c>
      <c r="G84" s="34">
        <v>45629</v>
      </c>
      <c r="H84" s="20">
        <v>5</v>
      </c>
      <c r="I84" s="20" t="s">
        <v>154</v>
      </c>
      <c r="J84" s="24">
        <v>259254.16</v>
      </c>
      <c r="K84" s="24">
        <v>260262.37</v>
      </c>
      <c r="L84" s="39">
        <f t="shared" si="1"/>
        <v>0.05</v>
      </c>
      <c r="M84" s="38" t="s">
        <v>37</v>
      </c>
      <c r="P84" s="43"/>
    </row>
    <row r="85" spans="1:16" x14ac:dyDescent="0.3">
      <c r="A85" s="34">
        <v>45657</v>
      </c>
      <c r="B85" s="20" t="s">
        <v>155</v>
      </c>
      <c r="C85" s="20" t="s">
        <v>156</v>
      </c>
      <c r="D85" s="20" t="s">
        <v>165</v>
      </c>
      <c r="E85" s="20" t="s">
        <v>166</v>
      </c>
      <c r="F85" s="34">
        <v>45666</v>
      </c>
      <c r="G85" s="34">
        <v>45631</v>
      </c>
      <c r="H85" s="20">
        <v>5</v>
      </c>
      <c r="I85" s="20" t="s">
        <v>154</v>
      </c>
      <c r="J85" s="24">
        <v>507887.23</v>
      </c>
      <c r="K85" s="24">
        <v>509721.27</v>
      </c>
      <c r="L85" s="39">
        <f t="shared" si="1"/>
        <v>0.05</v>
      </c>
      <c r="M85" s="38" t="s">
        <v>37</v>
      </c>
      <c r="P85" s="43"/>
    </row>
    <row r="86" spans="1:16" x14ac:dyDescent="0.3">
      <c r="A86" s="34">
        <v>45657</v>
      </c>
      <c r="B86" s="20" t="s">
        <v>155</v>
      </c>
      <c r="C86" s="20" t="s">
        <v>156</v>
      </c>
      <c r="D86" s="20" t="s">
        <v>167</v>
      </c>
      <c r="E86" s="20" t="s">
        <v>168</v>
      </c>
      <c r="F86" s="34">
        <v>45672</v>
      </c>
      <c r="G86" s="34">
        <v>45637</v>
      </c>
      <c r="H86" s="20">
        <v>5</v>
      </c>
      <c r="I86" s="20" t="s">
        <v>154</v>
      </c>
      <c r="J86" s="24">
        <v>223153.84</v>
      </c>
      <c r="K86" s="24">
        <v>223773.71</v>
      </c>
      <c r="L86" s="39">
        <f t="shared" si="1"/>
        <v>0.05</v>
      </c>
      <c r="M86" s="38" t="s">
        <v>37</v>
      </c>
      <c r="P86" s="43"/>
    </row>
    <row r="87" spans="1:16" x14ac:dyDescent="0.3">
      <c r="A87" s="34">
        <v>45657</v>
      </c>
      <c r="B87" s="20" t="s">
        <v>155</v>
      </c>
      <c r="C87" s="20" t="s">
        <v>156</v>
      </c>
      <c r="D87" s="20" t="s">
        <v>169</v>
      </c>
      <c r="E87" s="20" t="s">
        <v>170</v>
      </c>
      <c r="F87" s="34">
        <v>45679</v>
      </c>
      <c r="G87" s="34">
        <v>45645</v>
      </c>
      <c r="H87" s="20">
        <v>5</v>
      </c>
      <c r="I87" s="20" t="s">
        <v>154</v>
      </c>
      <c r="J87" s="24">
        <v>215704.57</v>
      </c>
      <c r="K87" s="24">
        <v>216064.08</v>
      </c>
      <c r="L87" s="39">
        <f t="shared" si="1"/>
        <v>0.05</v>
      </c>
      <c r="M87" s="38" t="s">
        <v>37</v>
      </c>
      <c r="P87" s="43"/>
    </row>
    <row r="88" spans="1:16" x14ac:dyDescent="0.3">
      <c r="A88" s="34">
        <v>45657</v>
      </c>
      <c r="B88" s="20" t="s">
        <v>155</v>
      </c>
      <c r="C88" s="20" t="s">
        <v>156</v>
      </c>
      <c r="D88" s="20" t="s">
        <v>171</v>
      </c>
      <c r="E88" s="20" t="s">
        <v>172</v>
      </c>
      <c r="F88" s="34">
        <v>45687</v>
      </c>
      <c r="G88" s="34">
        <v>45657</v>
      </c>
      <c r="H88" s="20">
        <v>5</v>
      </c>
      <c r="I88" s="20" t="s">
        <v>154</v>
      </c>
      <c r="J88" s="24">
        <v>112000</v>
      </c>
      <c r="K88" s="24">
        <v>112000</v>
      </c>
      <c r="L88" s="39">
        <f t="shared" si="1"/>
        <v>0.05</v>
      </c>
      <c r="M88" s="38" t="s">
        <v>37</v>
      </c>
      <c r="P88" s="43"/>
    </row>
    <row r="89" spans="1:16" x14ac:dyDescent="0.3">
      <c r="A89" s="34">
        <v>45657</v>
      </c>
      <c r="B89" s="20" t="s">
        <v>107</v>
      </c>
      <c r="C89" s="20" t="s">
        <v>108</v>
      </c>
      <c r="D89" s="20" t="s">
        <v>173</v>
      </c>
      <c r="E89" s="20" t="s">
        <v>174</v>
      </c>
      <c r="F89" s="34">
        <v>45678</v>
      </c>
      <c r="G89" s="34">
        <v>45408</v>
      </c>
      <c r="H89" s="20">
        <v>12</v>
      </c>
      <c r="I89" s="20" t="s">
        <v>175</v>
      </c>
      <c r="J89" s="24">
        <v>100000</v>
      </c>
      <c r="K89" s="24">
        <v>106000</v>
      </c>
      <c r="L89" s="39">
        <f t="shared" si="1"/>
        <v>0.12</v>
      </c>
      <c r="M89" s="38" t="s">
        <v>176</v>
      </c>
      <c r="P89" s="43"/>
    </row>
    <row r="90" spans="1:16" customFormat="1" x14ac:dyDescent="0.3">
      <c r="A90" s="34">
        <v>45657</v>
      </c>
      <c r="B90" t="s">
        <v>107</v>
      </c>
      <c r="C90" t="s">
        <v>108</v>
      </c>
      <c r="D90" t="s">
        <v>177</v>
      </c>
      <c r="E90" t="s">
        <v>178</v>
      </c>
      <c r="F90" s="18">
        <v>45768</v>
      </c>
      <c r="G90" s="18">
        <v>45497</v>
      </c>
      <c r="H90">
        <v>10</v>
      </c>
      <c r="I90" t="s">
        <v>179</v>
      </c>
      <c r="J90" s="7">
        <v>250000</v>
      </c>
      <c r="K90" s="7">
        <v>260958.9</v>
      </c>
      <c r="L90" s="44">
        <v>0.1</v>
      </c>
      <c r="M90" t="s">
        <v>37</v>
      </c>
    </row>
  </sheetData>
  <pageMargins left="0.7" right="0.7" top="0.75" bottom="0.75" header="0.3" footer="0.3"/>
  <headerFooter>
    <oddHeader>&amp;R&amp;"Calibri"&amp;12&amp;K000000 Controlled Disclosure&amp;1#_x000D_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BEC-70E8-4B50-B897-2FAFF2BBECBD}">
  <sheetPr codeName="Sheet2"/>
  <dimension ref="A2:G8"/>
  <sheetViews>
    <sheetView zoomScale="153" workbookViewId="0">
      <selection activeCell="D4" sqref="D4"/>
    </sheetView>
  </sheetViews>
  <sheetFormatPr defaultColWidth="8.6640625" defaultRowHeight="14.4" x14ac:dyDescent="0.3"/>
  <sheetData>
    <row r="2" spans="1:7" x14ac:dyDescent="0.3">
      <c r="A2" s="13" t="s">
        <v>180</v>
      </c>
      <c r="B2" s="13" t="s">
        <v>181</v>
      </c>
      <c r="C2" s="13" t="s">
        <v>182</v>
      </c>
      <c r="D2" s="13" t="s">
        <v>183</v>
      </c>
      <c r="F2" s="45" t="s">
        <v>184</v>
      </c>
      <c r="G2" s="46" t="s">
        <v>185</v>
      </c>
    </row>
    <row r="3" spans="1:7" x14ac:dyDescent="0.3">
      <c r="A3" s="48">
        <v>30</v>
      </c>
      <c r="B3" s="47">
        <f>A3/365</f>
        <v>8.2191780821917804E-2</v>
      </c>
      <c r="C3" s="15">
        <v>4.2200000000000001E-2</v>
      </c>
      <c r="D3" s="49" cm="1">
        <f t="array" ref="D3">nelson(B3,$G$3,$G$4,$G$5,$G$6,$G$7,$G$8)</f>
        <v>4.2131021257508415E-2</v>
      </c>
      <c r="E3" s="50"/>
      <c r="F3" s="13" t="s">
        <v>186</v>
      </c>
      <c r="G3" s="51">
        <v>2.2643339999999998</v>
      </c>
    </row>
    <row r="4" spans="1:7" x14ac:dyDescent="0.3">
      <c r="A4" s="48">
        <v>60</v>
      </c>
      <c r="B4" s="47">
        <f t="shared" ref="B4:B8" si="0">A4/365</f>
        <v>0.16438356164383561</v>
      </c>
      <c r="C4" s="15">
        <v>4.2000000000000003E-2</v>
      </c>
      <c r="D4" s="49" cm="1">
        <f t="array" ref="D4">nelson(B4,$G$3,$G$4,$G$5,$G$6,$G$7,$G$8)</f>
        <v>4.2203906145387979E-2</v>
      </c>
      <c r="E4" s="50"/>
      <c r="F4" s="13" t="s">
        <v>187</v>
      </c>
      <c r="G4" s="51">
        <v>-2.2224710000000001</v>
      </c>
    </row>
    <row r="5" spans="1:7" x14ac:dyDescent="0.3">
      <c r="A5" s="48">
        <v>90</v>
      </c>
      <c r="B5" s="47">
        <f t="shared" si="0"/>
        <v>0.24657534246575341</v>
      </c>
      <c r="C5" s="15">
        <v>4.2299999999999997E-2</v>
      </c>
      <c r="D5" s="49" cm="1">
        <f t="array" ref="D5">nelson(B5,$G$3,$G$4,$G$5,$G$6,$G$7,$G$8)</f>
        <v>4.2122647710448685E-2</v>
      </c>
      <c r="E5" s="50"/>
      <c r="F5" s="13" t="s">
        <v>188</v>
      </c>
      <c r="G5" s="51">
        <v>-5.5497059999999996</v>
      </c>
    </row>
    <row r="6" spans="1:7" x14ac:dyDescent="0.3">
      <c r="A6" s="48">
        <v>120</v>
      </c>
      <c r="B6" s="47">
        <f t="shared" si="0"/>
        <v>0.32876712328767121</v>
      </c>
      <c r="C6" s="15">
        <v>4.19E-2</v>
      </c>
      <c r="D6" s="49" cm="1">
        <f t="array" ref="D6">nelson(B6,$G$3,$G$4,$G$5,$G$6,$G$7,$G$8)</f>
        <v>4.1925100514182773E-2</v>
      </c>
      <c r="E6" s="50"/>
      <c r="F6" s="13" t="s">
        <v>189</v>
      </c>
      <c r="G6" s="51">
        <v>2.3316949999999999</v>
      </c>
    </row>
    <row r="7" spans="1:7" x14ac:dyDescent="0.3">
      <c r="A7" s="48">
        <v>180</v>
      </c>
      <c r="B7" s="47">
        <f t="shared" si="0"/>
        <v>0.49315068493150682</v>
      </c>
      <c r="C7" s="15">
        <v>4.1300000000000003E-2</v>
      </c>
      <c r="D7" s="49" cm="1">
        <f t="array" ref="D7">nelson(B7,$G$3,$G$4,$G$5,$G$6,$G$7,$G$8)</f>
        <v>4.1317959466513177E-2</v>
      </c>
      <c r="E7" s="50"/>
      <c r="F7" s="13" t="s">
        <v>190</v>
      </c>
      <c r="G7" s="51">
        <v>2.6758850000000001</v>
      </c>
    </row>
    <row r="8" spans="1:7" x14ac:dyDescent="0.3">
      <c r="A8" s="48">
        <v>365</v>
      </c>
      <c r="B8" s="47">
        <f t="shared" si="0"/>
        <v>1</v>
      </c>
      <c r="C8" s="15">
        <v>3.9800000000000002E-2</v>
      </c>
      <c r="D8" s="49" cm="1">
        <f t="array" ref="D8">nelson(B8,$G$3,$G$4,$G$5,$G$6,$G$7,$G$8)</f>
        <v>3.9798462203475438E-2</v>
      </c>
      <c r="E8" s="50"/>
      <c r="F8" s="13" t="s">
        <v>191</v>
      </c>
      <c r="G8" s="51">
        <v>1.8613900000000001</v>
      </c>
    </row>
  </sheetData>
  <phoneticPr fontId="26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9E28-EC1B-412F-8556-5D67341AA5B9}">
  <sheetPr codeName="Sheet3">
    <tabColor theme="0" tint="-0.14999847407452621"/>
  </sheetPr>
  <dimension ref="B1:R56"/>
  <sheetViews>
    <sheetView zoomScale="80" zoomScaleNormal="80" workbookViewId="0">
      <pane xSplit="3" ySplit="11" topLeftCell="D12" activePane="bottomRight" state="frozen"/>
      <selection pane="topRight" activeCell="D1" sqref="D1"/>
      <selection pane="bottomLeft" activeCell="A11" sqref="A11"/>
      <selection pane="bottomRight" activeCell="L5" sqref="L5"/>
    </sheetView>
  </sheetViews>
  <sheetFormatPr defaultColWidth="8.6640625" defaultRowHeight="14.4" x14ac:dyDescent="0.3"/>
  <cols>
    <col min="2" max="2" width="15.109375" bestFit="1" customWidth="1"/>
    <col min="3" max="3" width="18.6640625" bestFit="1" customWidth="1"/>
    <col min="4" max="4" width="20.44140625" bestFit="1" customWidth="1"/>
    <col min="5" max="5" width="16.33203125" bestFit="1" customWidth="1"/>
    <col min="6" max="6" width="13" bestFit="1" customWidth="1"/>
    <col min="7" max="7" width="7.109375" bestFit="1" customWidth="1"/>
    <col min="8" max="8" width="9.44140625" bestFit="1" customWidth="1"/>
    <col min="9" max="9" width="17.44140625" customWidth="1"/>
    <col min="10" max="10" width="19.6640625" bestFit="1" customWidth="1"/>
    <col min="11" max="11" width="15.44140625" style="9" customWidth="1"/>
    <col min="12" max="12" width="11.109375" style="2" bestFit="1" customWidth="1"/>
    <col min="13" max="13" width="18.44140625" style="2" bestFit="1" customWidth="1"/>
    <col min="14" max="14" width="17.6640625" style="2" bestFit="1" customWidth="1"/>
    <col min="15" max="15" width="16.6640625" style="2" bestFit="1" customWidth="1"/>
    <col min="16" max="16" width="20.109375" style="2" bestFit="1" customWidth="1"/>
    <col min="17" max="17" width="18.6640625" style="2" bestFit="1" customWidth="1"/>
    <col min="18" max="18" width="26.6640625" bestFit="1" customWidth="1"/>
    <col min="19" max="19" width="15.109375" bestFit="1" customWidth="1"/>
  </cols>
  <sheetData>
    <row r="1" spans="2:18" x14ac:dyDescent="0.3">
      <c r="B1" s="19">
        <v>45657</v>
      </c>
      <c r="C1" s="13"/>
      <c r="K1" s="10"/>
      <c r="L1" s="7"/>
      <c r="M1" s="7"/>
      <c r="N1" s="7"/>
      <c r="O1" s="7"/>
      <c r="P1" s="7"/>
      <c r="Q1" s="7"/>
    </row>
    <row r="2" spans="2:18" x14ac:dyDescent="0.3">
      <c r="B2" s="14"/>
      <c r="C2" s="13"/>
      <c r="K2" s="10"/>
      <c r="L2" s="7"/>
      <c r="M2" s="7"/>
      <c r="N2" s="7"/>
      <c r="O2" s="7"/>
      <c r="P2" s="7"/>
      <c r="Q2" s="7"/>
    </row>
    <row r="3" spans="2:18" x14ac:dyDescent="0.3">
      <c r="B3" s="14" t="s">
        <v>192</v>
      </c>
      <c r="C3" s="16" t="s">
        <v>193</v>
      </c>
      <c r="K3" s="10"/>
      <c r="L3" s="7"/>
      <c r="M3" s="7"/>
      <c r="N3" s="7"/>
      <c r="O3" s="7"/>
      <c r="P3" s="7"/>
      <c r="Q3" s="7"/>
    </row>
    <row r="4" spans="2:18" x14ac:dyDescent="0.3">
      <c r="B4" s="14" t="s">
        <v>194</v>
      </c>
      <c r="C4" s="32">
        <v>0.1</v>
      </c>
      <c r="K4" s="10"/>
      <c r="L4" s="7"/>
      <c r="M4" s="7"/>
      <c r="N4" s="7"/>
      <c r="O4" s="7"/>
      <c r="P4" s="7"/>
      <c r="Q4" s="7"/>
    </row>
    <row r="5" spans="2:18" x14ac:dyDescent="0.3">
      <c r="B5" s="14" t="s">
        <v>195</v>
      </c>
      <c r="C5" s="32">
        <v>0.10299999999999999</v>
      </c>
      <c r="K5" s="10"/>
      <c r="L5" s="7"/>
      <c r="M5" s="7"/>
      <c r="N5" s="7"/>
      <c r="O5" s="7"/>
      <c r="P5" s="7"/>
      <c r="Q5" s="7"/>
    </row>
    <row r="6" spans="2:18" x14ac:dyDescent="0.3">
      <c r="B6" s="14" t="s">
        <v>196</v>
      </c>
      <c r="C6" s="32">
        <v>0.107</v>
      </c>
      <c r="K6" s="10"/>
      <c r="L6" s="7"/>
      <c r="M6" s="7"/>
      <c r="N6" s="7"/>
      <c r="O6" s="7"/>
      <c r="P6" s="7"/>
      <c r="Q6" s="7"/>
    </row>
    <row r="7" spans="2:18" x14ac:dyDescent="0.3">
      <c r="B7" s="14" t="s">
        <v>197</v>
      </c>
      <c r="C7" s="32">
        <v>0.109</v>
      </c>
      <c r="K7" s="10"/>
      <c r="L7" s="7"/>
      <c r="M7" s="7"/>
      <c r="N7" s="7"/>
      <c r="O7" s="7"/>
      <c r="P7" s="7"/>
      <c r="Q7" s="7"/>
    </row>
    <row r="8" spans="2:18" x14ac:dyDescent="0.3">
      <c r="B8" s="14" t="s">
        <v>198</v>
      </c>
      <c r="C8" s="32">
        <v>0.115</v>
      </c>
      <c r="K8" s="10"/>
      <c r="L8" s="7"/>
      <c r="M8" s="7"/>
      <c r="N8" s="7"/>
      <c r="O8" s="7"/>
      <c r="P8" s="7"/>
      <c r="Q8" s="7"/>
    </row>
    <row r="9" spans="2:18" x14ac:dyDescent="0.3">
      <c r="B9" s="14" t="s">
        <v>199</v>
      </c>
      <c r="C9" s="17"/>
      <c r="K9" s="10"/>
      <c r="L9" s="7"/>
      <c r="M9" s="7"/>
      <c r="N9" s="7"/>
      <c r="O9" s="7"/>
      <c r="P9" s="7"/>
      <c r="Q9" s="7"/>
    </row>
    <row r="10" spans="2:18" x14ac:dyDescent="0.3">
      <c r="B10" s="14"/>
      <c r="C10" s="13"/>
      <c r="K10" s="10"/>
      <c r="L10" s="7"/>
      <c r="M10" s="7"/>
      <c r="N10" s="7"/>
      <c r="O10" s="7"/>
      <c r="P10" s="7"/>
      <c r="Q10" s="7"/>
    </row>
    <row r="11" spans="2:18" x14ac:dyDescent="0.3">
      <c r="B11" s="4" t="s">
        <v>200</v>
      </c>
      <c r="C11" s="4" t="s">
        <v>201</v>
      </c>
      <c r="D11" s="4" t="s">
        <v>202</v>
      </c>
      <c r="E11" s="4" t="s">
        <v>203</v>
      </c>
      <c r="F11" s="4" t="s">
        <v>204</v>
      </c>
      <c r="G11" s="4" t="s">
        <v>205</v>
      </c>
      <c r="H11" s="4" t="s">
        <v>206</v>
      </c>
      <c r="I11" s="4" t="s">
        <v>207</v>
      </c>
      <c r="J11" s="4" t="s">
        <v>208</v>
      </c>
      <c r="K11" s="12" t="s">
        <v>209</v>
      </c>
      <c r="L11" s="4" t="s">
        <v>210</v>
      </c>
      <c r="M11" s="4" t="s">
        <v>211</v>
      </c>
      <c r="N11" s="4" t="s">
        <v>212</v>
      </c>
      <c r="O11" s="4" t="s">
        <v>213</v>
      </c>
      <c r="P11" s="4" t="s">
        <v>214</v>
      </c>
      <c r="Q11" s="4" t="s">
        <v>215</v>
      </c>
      <c r="R11" s="5" t="s">
        <v>216</v>
      </c>
    </row>
    <row r="12" spans="2:18" s="20" customFormat="1" x14ac:dyDescent="0.3">
      <c r="B12" s="33" t="s">
        <v>13</v>
      </c>
      <c r="C12" s="33" t="s">
        <v>14</v>
      </c>
      <c r="D12" s="20" t="s">
        <v>16</v>
      </c>
      <c r="E12" s="34">
        <v>45691</v>
      </c>
      <c r="F12" s="34">
        <v>45600</v>
      </c>
      <c r="G12" s="35">
        <v>0.05</v>
      </c>
      <c r="H12" s="36">
        <f t="shared" ref="H12:H15" si="0">E12-F12</f>
        <v>91</v>
      </c>
      <c r="I12" s="20">
        <f t="shared" ref="I12:I15" si="1">E12-$B$1</f>
        <v>34</v>
      </c>
      <c r="J12" s="21">
        <f t="shared" ref="J12:J15" si="2">+I12/365</f>
        <v>9.3150684931506855E-2</v>
      </c>
      <c r="K12" s="35">
        <f>+$C$5</f>
        <v>0.10299999999999999</v>
      </c>
      <c r="L12" s="37">
        <v>192.84</v>
      </c>
      <c r="M12" s="37">
        <v>194.35</v>
      </c>
      <c r="N12" s="23">
        <f>(G12*H12*L12/365)+L12</f>
        <v>195.24389589041095</v>
      </c>
      <c r="O12" s="23">
        <f t="shared" ref="O12:O15" si="3">(1/(1+K12)^(J12))*N12</f>
        <v>193.46906233884204</v>
      </c>
      <c r="P12" s="25">
        <f t="shared" ref="P12:P15" si="4">O12-M12</f>
        <v>-0.88093766115795802</v>
      </c>
      <c r="Q12" s="25">
        <f>+P12/'US$ Money Market'!$C$100</f>
        <v>-3.4146855869835763E-2</v>
      </c>
      <c r="R12" s="38" t="s">
        <v>17</v>
      </c>
    </row>
    <row r="13" spans="2:18" s="20" customFormat="1" x14ac:dyDescent="0.3">
      <c r="B13" s="33" t="s">
        <v>19</v>
      </c>
      <c r="C13" s="33" t="s">
        <v>20</v>
      </c>
      <c r="D13" s="20" t="s">
        <v>22</v>
      </c>
      <c r="E13" s="34">
        <v>45691</v>
      </c>
      <c r="F13" s="34">
        <v>45600</v>
      </c>
      <c r="G13" s="35">
        <v>0.05</v>
      </c>
      <c r="H13" s="36">
        <f t="shared" si="0"/>
        <v>91</v>
      </c>
      <c r="I13" s="20">
        <f t="shared" si="1"/>
        <v>34</v>
      </c>
      <c r="J13" s="21">
        <f t="shared" si="2"/>
        <v>9.3150684931506855E-2</v>
      </c>
      <c r="K13" s="35">
        <f t="shared" ref="K13:K14" si="5">+$C$5</f>
        <v>0.10299999999999999</v>
      </c>
      <c r="L13" s="37">
        <v>270.33999999999997</v>
      </c>
      <c r="M13" s="37">
        <v>272.45</v>
      </c>
      <c r="N13" s="23">
        <f t="shared" ref="N13:N15" si="6">(G13*H13*L13/365)+L13</f>
        <v>273.70999178082189</v>
      </c>
      <c r="O13" s="23">
        <f t="shared" si="3"/>
        <v>271.22187467684375</v>
      </c>
      <c r="P13" s="25">
        <f t="shared" si="4"/>
        <v>-1.2281253231562346</v>
      </c>
      <c r="Q13" s="25">
        <f>+P13/'US$ Money Market'!$C$100</f>
        <v>-4.760452441638989E-2</v>
      </c>
      <c r="R13" s="38" t="s">
        <v>17</v>
      </c>
    </row>
    <row r="14" spans="2:18" s="20" customFormat="1" x14ac:dyDescent="0.3">
      <c r="B14" s="33" t="s">
        <v>23</v>
      </c>
      <c r="C14" s="33" t="s">
        <v>24</v>
      </c>
      <c r="D14" s="20" t="s">
        <v>26</v>
      </c>
      <c r="E14" s="34">
        <v>45691</v>
      </c>
      <c r="F14" s="34">
        <v>45600</v>
      </c>
      <c r="G14" s="35">
        <v>0.05</v>
      </c>
      <c r="H14" s="36">
        <f t="shared" si="0"/>
        <v>91</v>
      </c>
      <c r="I14" s="20">
        <f t="shared" si="1"/>
        <v>34</v>
      </c>
      <c r="J14" s="21">
        <f t="shared" si="2"/>
        <v>9.3150684931506855E-2</v>
      </c>
      <c r="K14" s="35">
        <f t="shared" si="5"/>
        <v>0.10299999999999999</v>
      </c>
      <c r="L14" s="37">
        <v>35.1</v>
      </c>
      <c r="M14" s="37">
        <v>35.369999999999997</v>
      </c>
      <c r="N14" s="23">
        <f t="shared" si="6"/>
        <v>35.537547945205482</v>
      </c>
      <c r="O14" s="23">
        <f t="shared" si="3"/>
        <v>35.214499523404662</v>
      </c>
      <c r="P14" s="25">
        <f t="shared" si="4"/>
        <v>-0.15550047659533561</v>
      </c>
      <c r="Q14" s="25">
        <f>+P14/'US$ Money Market'!$C$100</f>
        <v>-6.0275006917198913E-3</v>
      </c>
      <c r="R14" s="38" t="s">
        <v>17</v>
      </c>
    </row>
    <row r="15" spans="2:18" s="20" customFormat="1" x14ac:dyDescent="0.3">
      <c r="B15" s="33" t="s">
        <v>27</v>
      </c>
      <c r="C15" s="33" t="s">
        <v>28</v>
      </c>
      <c r="D15" s="20" t="s">
        <v>30</v>
      </c>
      <c r="E15" s="34">
        <v>45667</v>
      </c>
      <c r="F15" s="34">
        <v>45642</v>
      </c>
      <c r="G15" s="35">
        <v>0.11929404</v>
      </c>
      <c r="H15" s="36">
        <f t="shared" si="0"/>
        <v>25</v>
      </c>
      <c r="I15" s="20">
        <f t="shared" si="1"/>
        <v>10</v>
      </c>
      <c r="J15" s="21">
        <f t="shared" si="2"/>
        <v>2.7397260273972601E-2</v>
      </c>
      <c r="K15" s="39">
        <f>+C4</f>
        <v>0.1</v>
      </c>
      <c r="L15" s="37">
        <v>914255.27</v>
      </c>
      <c r="M15" s="37">
        <v>918737.4</v>
      </c>
      <c r="N15" s="23">
        <f t="shared" si="6"/>
        <v>921725.48950339667</v>
      </c>
      <c r="O15" s="23">
        <f t="shared" si="3"/>
        <v>919321.78474952502</v>
      </c>
      <c r="P15" s="25">
        <f t="shared" si="4"/>
        <v>584.38474952499382</v>
      </c>
      <c r="Q15" s="25">
        <f>+P15/'US$ Money Market'!$C$100</f>
        <v>22.651888657286037</v>
      </c>
      <c r="R15" s="33" t="s">
        <v>31</v>
      </c>
    </row>
    <row r="16" spans="2:18" x14ac:dyDescent="0.3">
      <c r="B16" s="8"/>
      <c r="C16" s="8"/>
      <c r="E16" s="3"/>
      <c r="F16" s="3"/>
      <c r="G16" s="9"/>
      <c r="H16" s="6"/>
      <c r="P16" s="1">
        <f>+SUM(P12:P15)</f>
        <v>582.12018606408424</v>
      </c>
      <c r="Q16" s="1">
        <f>+SUM(Q12:Q15)</f>
        <v>22.56410977630809</v>
      </c>
    </row>
    <row r="17" spans="2:8" x14ac:dyDescent="0.3">
      <c r="B17" s="8"/>
      <c r="C17" s="8"/>
      <c r="E17" s="3"/>
      <c r="F17" s="3"/>
      <c r="G17" s="9"/>
      <c r="H17" s="6"/>
    </row>
    <row r="18" spans="2:8" x14ac:dyDescent="0.3">
      <c r="B18" s="8"/>
      <c r="C18" s="8"/>
      <c r="E18" s="3"/>
      <c r="F18" s="3"/>
      <c r="G18" s="9"/>
      <c r="H18" s="6"/>
    </row>
    <row r="19" spans="2:8" x14ac:dyDescent="0.3">
      <c r="B19" s="8"/>
      <c r="C19" s="8"/>
      <c r="E19" s="3"/>
      <c r="F19" s="3"/>
      <c r="G19" s="9"/>
      <c r="H19" s="6"/>
    </row>
    <row r="20" spans="2:8" x14ac:dyDescent="0.3">
      <c r="B20" s="8"/>
      <c r="C20" s="8"/>
      <c r="E20" s="3"/>
      <c r="F20" s="3"/>
      <c r="G20" s="9"/>
      <c r="H20" s="6"/>
    </row>
    <row r="21" spans="2:8" x14ac:dyDescent="0.3">
      <c r="B21" s="8"/>
      <c r="C21" s="8"/>
      <c r="E21" s="3"/>
      <c r="F21" s="3"/>
      <c r="G21" s="9"/>
      <c r="H21" s="6"/>
    </row>
    <row r="22" spans="2:8" x14ac:dyDescent="0.3">
      <c r="B22" s="8"/>
      <c r="C22" s="8"/>
      <c r="E22" s="3"/>
      <c r="F22" s="3"/>
      <c r="G22" s="9"/>
      <c r="H22" s="6"/>
    </row>
    <row r="23" spans="2:8" x14ac:dyDescent="0.3">
      <c r="B23" s="8"/>
      <c r="C23" s="8"/>
      <c r="E23" s="3"/>
      <c r="F23" s="3"/>
      <c r="G23" s="9"/>
      <c r="H23" s="6"/>
    </row>
    <row r="24" spans="2:8" x14ac:dyDescent="0.3">
      <c r="B24" s="8"/>
      <c r="C24" s="8"/>
      <c r="E24" s="3"/>
      <c r="F24" s="3"/>
      <c r="G24" s="9"/>
      <c r="H24" s="6"/>
    </row>
    <row r="25" spans="2:8" x14ac:dyDescent="0.3">
      <c r="B25" s="8"/>
      <c r="C25" s="8"/>
      <c r="E25" s="3"/>
      <c r="F25" s="3"/>
      <c r="G25" s="9"/>
      <c r="H25" s="6"/>
    </row>
    <row r="26" spans="2:8" x14ac:dyDescent="0.3">
      <c r="B26" s="8"/>
      <c r="C26" s="8"/>
      <c r="E26" s="3"/>
      <c r="F26" s="3"/>
      <c r="G26" s="9"/>
      <c r="H26" s="6"/>
    </row>
    <row r="27" spans="2:8" x14ac:dyDescent="0.3">
      <c r="B27" s="8"/>
      <c r="C27" s="8"/>
      <c r="E27" s="3"/>
      <c r="F27" s="3"/>
      <c r="G27" s="9"/>
      <c r="H27" s="6"/>
    </row>
    <row r="28" spans="2:8" x14ac:dyDescent="0.3">
      <c r="B28" s="8"/>
      <c r="C28" s="8"/>
      <c r="E28" s="3"/>
      <c r="F28" s="3"/>
      <c r="G28" s="9"/>
      <c r="H28" s="6"/>
    </row>
    <row r="29" spans="2:8" x14ac:dyDescent="0.3">
      <c r="B29" s="8"/>
      <c r="C29" s="8"/>
      <c r="E29" s="3"/>
      <c r="F29" s="3"/>
      <c r="G29" s="9"/>
      <c r="H29" s="6"/>
    </row>
    <row r="30" spans="2:8" x14ac:dyDescent="0.3">
      <c r="B30" s="8"/>
      <c r="C30" s="8"/>
      <c r="E30" s="3"/>
      <c r="F30" s="3"/>
      <c r="G30" s="9"/>
      <c r="H30" s="6"/>
    </row>
    <row r="31" spans="2:8" x14ac:dyDescent="0.3">
      <c r="B31" s="8"/>
      <c r="C31" s="8"/>
      <c r="E31" s="3"/>
      <c r="F31" s="3"/>
      <c r="G31" s="9"/>
      <c r="H31" s="6"/>
    </row>
    <row r="32" spans="2:8" x14ac:dyDescent="0.3">
      <c r="B32" s="8"/>
      <c r="C32" s="8"/>
      <c r="E32" s="3"/>
      <c r="F32" s="3"/>
      <c r="G32" s="9"/>
      <c r="H32" s="6"/>
    </row>
    <row r="33" spans="2:8" x14ac:dyDescent="0.3">
      <c r="B33" s="8"/>
      <c r="C33" s="8"/>
      <c r="E33" s="3"/>
      <c r="F33" s="3"/>
      <c r="G33" s="9"/>
      <c r="H33" s="6"/>
    </row>
    <row r="34" spans="2:8" x14ac:dyDescent="0.3">
      <c r="B34" s="8"/>
      <c r="C34" s="8"/>
      <c r="E34" s="3"/>
      <c r="F34" s="3"/>
      <c r="G34" s="9"/>
      <c r="H34" s="6"/>
    </row>
    <row r="35" spans="2:8" x14ac:dyDescent="0.3">
      <c r="B35" s="8"/>
      <c r="C35" s="8"/>
      <c r="E35" s="3"/>
      <c r="F35" s="3"/>
      <c r="G35" s="9"/>
      <c r="H35" s="6"/>
    </row>
    <row r="36" spans="2:8" x14ac:dyDescent="0.3">
      <c r="B36" s="8"/>
      <c r="C36" s="8"/>
      <c r="E36" s="3"/>
      <c r="F36" s="3"/>
      <c r="G36" s="9"/>
      <c r="H36" s="6"/>
    </row>
    <row r="37" spans="2:8" x14ac:dyDescent="0.3">
      <c r="B37" s="8"/>
      <c r="C37" s="8"/>
      <c r="E37" s="3"/>
      <c r="F37" s="3"/>
      <c r="G37" s="9"/>
      <c r="H37" s="6"/>
    </row>
    <row r="38" spans="2:8" x14ac:dyDescent="0.3">
      <c r="B38" s="8"/>
      <c r="C38" s="8"/>
      <c r="E38" s="3"/>
      <c r="F38" s="3"/>
      <c r="G38" s="9"/>
      <c r="H38" s="6"/>
    </row>
    <row r="39" spans="2:8" x14ac:dyDescent="0.3">
      <c r="B39" s="8"/>
      <c r="C39" s="8"/>
      <c r="E39" s="3"/>
      <c r="F39" s="3"/>
      <c r="G39" s="9"/>
      <c r="H39" s="6"/>
    </row>
    <row r="40" spans="2:8" x14ac:dyDescent="0.3">
      <c r="B40" s="8"/>
      <c r="C40" s="8"/>
      <c r="E40" s="3"/>
      <c r="F40" s="3"/>
      <c r="G40" s="9"/>
      <c r="H40" s="6"/>
    </row>
    <row r="41" spans="2:8" x14ac:dyDescent="0.3">
      <c r="B41" s="8"/>
      <c r="C41" s="8"/>
      <c r="E41" s="3"/>
      <c r="F41" s="3"/>
      <c r="G41" s="9"/>
      <c r="H41" s="6"/>
    </row>
    <row r="42" spans="2:8" x14ac:dyDescent="0.3">
      <c r="B42" s="8"/>
      <c r="C42" s="8"/>
      <c r="E42" s="3"/>
      <c r="F42" s="3"/>
      <c r="G42" s="9"/>
      <c r="H42" s="6"/>
    </row>
    <row r="43" spans="2:8" x14ac:dyDescent="0.3">
      <c r="B43" s="8"/>
      <c r="C43" s="8"/>
      <c r="E43" s="3"/>
      <c r="F43" s="3"/>
      <c r="G43" s="9"/>
      <c r="H43" s="6"/>
    </row>
    <row r="44" spans="2:8" x14ac:dyDescent="0.3">
      <c r="B44" s="8"/>
      <c r="C44" s="8"/>
      <c r="E44" s="3"/>
      <c r="F44" s="3"/>
      <c r="G44" s="9"/>
      <c r="H44" s="6"/>
    </row>
    <row r="45" spans="2:8" x14ac:dyDescent="0.3">
      <c r="B45" s="8"/>
      <c r="C45" s="8"/>
      <c r="E45" s="3"/>
      <c r="F45" s="3"/>
      <c r="G45" s="9"/>
      <c r="H45" s="6"/>
    </row>
    <row r="46" spans="2:8" x14ac:dyDescent="0.3">
      <c r="B46" s="8"/>
      <c r="C46" s="8"/>
      <c r="E46" s="3"/>
      <c r="F46" s="3"/>
      <c r="G46" s="9"/>
      <c r="H46" s="6"/>
    </row>
    <row r="47" spans="2:8" x14ac:dyDescent="0.3">
      <c r="B47" s="8"/>
      <c r="C47" s="8"/>
      <c r="E47" s="3"/>
      <c r="F47" s="3"/>
      <c r="G47" s="9"/>
      <c r="H47" s="6"/>
    </row>
    <row r="48" spans="2:8" x14ac:dyDescent="0.3">
      <c r="B48" s="8"/>
      <c r="C48" s="8"/>
      <c r="E48" s="3"/>
      <c r="F48" s="3"/>
      <c r="G48" s="9"/>
      <c r="H48" s="6"/>
    </row>
    <row r="49" spans="2:8" x14ac:dyDescent="0.3">
      <c r="B49" s="8"/>
      <c r="C49" s="8"/>
      <c r="E49" s="3"/>
      <c r="F49" s="3"/>
      <c r="G49" s="9"/>
      <c r="H49" s="6"/>
    </row>
    <row r="50" spans="2:8" x14ac:dyDescent="0.3">
      <c r="B50" s="8"/>
      <c r="C50" s="8"/>
      <c r="E50" s="3"/>
      <c r="F50" s="3"/>
      <c r="G50" s="9"/>
      <c r="H50" s="6"/>
    </row>
    <row r="51" spans="2:8" x14ac:dyDescent="0.3">
      <c r="B51" s="8"/>
      <c r="C51" s="8"/>
      <c r="E51" s="3"/>
      <c r="F51" s="3"/>
      <c r="G51" s="9"/>
      <c r="H51" s="6"/>
    </row>
    <row r="52" spans="2:8" x14ac:dyDescent="0.3">
      <c r="B52" s="8"/>
      <c r="C52" s="8"/>
      <c r="E52" s="3"/>
      <c r="F52" s="3"/>
      <c r="G52" s="9"/>
      <c r="H52" s="6"/>
    </row>
    <row r="53" spans="2:8" x14ac:dyDescent="0.3">
      <c r="B53" s="8"/>
      <c r="C53" s="8"/>
      <c r="E53" s="3"/>
      <c r="F53" s="3"/>
      <c r="G53" s="9"/>
      <c r="H53" s="6"/>
    </row>
    <row r="54" spans="2:8" x14ac:dyDescent="0.3">
      <c r="B54" s="8"/>
      <c r="C54" s="8"/>
      <c r="E54" s="3"/>
      <c r="F54" s="3"/>
      <c r="G54" s="9"/>
      <c r="H54" s="6"/>
    </row>
    <row r="55" spans="2:8" x14ac:dyDescent="0.3">
      <c r="B55" s="8"/>
      <c r="C55" s="8"/>
      <c r="E55" s="3"/>
      <c r="F55" s="3"/>
      <c r="G55" s="9"/>
      <c r="H55" s="6"/>
    </row>
    <row r="56" spans="2:8" x14ac:dyDescent="0.3">
      <c r="B56" s="8"/>
      <c r="C56" s="8"/>
      <c r="E56" s="3"/>
      <c r="F56" s="3"/>
      <c r="G56" s="9"/>
      <c r="H56" s="6"/>
    </row>
  </sheetData>
  <sortState xmlns:xlrd2="http://schemas.microsoft.com/office/spreadsheetml/2017/richdata2" ref="B12:R16">
    <sortCondition ref="I12:I16"/>
  </sortState>
  <pageMargins left="0.7" right="0.7" top="0.75" bottom="0.75" header="0.3" footer="0.3"/>
  <pageSetup orientation="portrait" horizontalDpi="300" verticalDpi="300" r:id="rId1"/>
  <headerFooter>
    <oddHeader>&amp;R&amp;"Calibri"&amp;12&amp;K000000 Controlled Disclosure&amp;1#_x000D_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9C8-A6FF-445E-95D3-D0021F921B41}">
  <sheetPr codeName="Sheet4">
    <tabColor theme="0" tint="-4.9989318521683403E-2"/>
  </sheetPr>
  <dimension ref="B1:AB107"/>
  <sheetViews>
    <sheetView showGridLines="0" tabSelected="1" topLeftCell="K1" zoomScale="155" zoomScaleNormal="110" workbookViewId="0">
      <pane ySplit="10" topLeftCell="A11" activePane="bottomLeft" state="frozen"/>
      <selection pane="bottomLeft" activeCell="O8" sqref="O8"/>
    </sheetView>
  </sheetViews>
  <sheetFormatPr defaultColWidth="8.6640625" defaultRowHeight="14.4" x14ac:dyDescent="0.3"/>
  <cols>
    <col min="1" max="1" width="8.6640625" style="52"/>
    <col min="2" max="2" width="22.6640625" style="52" bestFit="1" customWidth="1"/>
    <col min="3" max="3" width="23.6640625" style="52" bestFit="1" customWidth="1"/>
    <col min="4" max="4" width="23.109375" style="52" bestFit="1" customWidth="1"/>
    <col min="5" max="5" width="23.109375" style="52" customWidth="1"/>
    <col min="6" max="6" width="20.6640625" style="52" bestFit="1" customWidth="1"/>
    <col min="7" max="7" width="22.6640625" style="52" bestFit="1" customWidth="1"/>
    <col min="8" max="8" width="20" style="52" bestFit="1" customWidth="1"/>
    <col min="9" max="10" width="23" style="52" bestFit="1" customWidth="1"/>
    <col min="11" max="11" width="22.6640625" style="52" bestFit="1" customWidth="1"/>
    <col min="12" max="12" width="20.33203125" style="52" customWidth="1"/>
    <col min="13" max="13" width="23.109375" style="52" bestFit="1" customWidth="1"/>
    <col min="14" max="14" width="23" style="52" bestFit="1" customWidth="1"/>
    <col min="15" max="15" width="20.33203125" style="52" customWidth="1"/>
    <col min="16" max="16" width="15" style="53" bestFit="1" customWidth="1"/>
    <col min="17" max="17" width="19.109375" style="52" customWidth="1"/>
    <col min="18" max="18" width="18.6640625" style="52" customWidth="1"/>
    <col min="19" max="19" width="22.44140625" style="52" customWidth="1"/>
    <col min="20" max="20" width="18" style="52" bestFit="1" customWidth="1"/>
    <col min="21" max="22" width="18" style="52" customWidth="1"/>
    <col min="23" max="23" width="19.109375" style="52" bestFit="1" customWidth="1"/>
    <col min="24" max="24" width="23.44140625" style="52" bestFit="1" customWidth="1"/>
    <col min="25" max="25" width="19.109375" style="52" customWidth="1"/>
    <col min="26" max="26" width="24.109375" style="52" customWidth="1"/>
    <col min="27" max="27" width="22.6640625" style="52" bestFit="1" customWidth="1"/>
    <col min="28" max="28" width="15.109375" style="52" customWidth="1"/>
    <col min="29" max="16384" width="8.6640625" style="52"/>
  </cols>
  <sheetData>
    <row r="1" spans="2:28" x14ac:dyDescent="0.3">
      <c r="B1" s="95"/>
    </row>
    <row r="4" spans="2:28" ht="15" thickBot="1" x14ac:dyDescent="0.35"/>
    <row r="5" spans="2:28" x14ac:dyDescent="0.3">
      <c r="B5" s="131" t="s">
        <v>217</v>
      </c>
      <c r="C5" s="132"/>
      <c r="D5" s="132"/>
      <c r="E5" s="132"/>
      <c r="F5" s="132"/>
      <c r="G5" s="133" t="s">
        <v>218</v>
      </c>
      <c r="H5" s="134"/>
      <c r="I5" s="134"/>
      <c r="J5" s="134"/>
      <c r="K5" s="135" t="s">
        <v>219</v>
      </c>
      <c r="L5" s="135"/>
      <c r="M5" s="135"/>
      <c r="N5" s="135"/>
      <c r="O5" s="136" t="s">
        <v>220</v>
      </c>
      <c r="P5" s="137"/>
    </row>
    <row r="6" spans="2:28" x14ac:dyDescent="0.3">
      <c r="B6" s="88" t="s">
        <v>221</v>
      </c>
      <c r="C6" s="73" t="s">
        <v>222</v>
      </c>
      <c r="D6" s="74" t="s">
        <v>223</v>
      </c>
      <c r="E6" s="72" t="s">
        <v>224</v>
      </c>
      <c r="F6" s="72" t="s">
        <v>225</v>
      </c>
      <c r="G6" s="102" t="s">
        <v>226</v>
      </c>
      <c r="H6" s="75" t="s">
        <v>227</v>
      </c>
      <c r="I6" s="75" t="s">
        <v>228</v>
      </c>
      <c r="J6" s="75" t="s">
        <v>229</v>
      </c>
      <c r="K6" s="96" t="s">
        <v>226</v>
      </c>
      <c r="L6" s="76" t="s">
        <v>227</v>
      </c>
      <c r="M6" s="76" t="s">
        <v>228</v>
      </c>
      <c r="N6" s="76" t="s">
        <v>229</v>
      </c>
      <c r="O6" s="97" t="s">
        <v>230</v>
      </c>
      <c r="P6" s="98" t="s">
        <v>231</v>
      </c>
    </row>
    <row r="7" spans="2:28" ht="15" thickBot="1" x14ac:dyDescent="0.35">
      <c r="B7" s="93">
        <f>SUMPRODUCT(K11:K95,M11:M95)/SUM(M11:M95)</f>
        <v>0.20632756966247665</v>
      </c>
      <c r="C7" s="92">
        <f>SUMPRODUCT(L11:L95,M11:M95)/SUM(M11:M95)</f>
        <v>0.1006969515930099</v>
      </c>
      <c r="D7" s="94">
        <f>SUM(M11:M95)</f>
        <v>18057559.629999999</v>
      </c>
      <c r="E7" s="94">
        <f>SUM(N11:N95)</f>
        <v>18476734.609999996</v>
      </c>
      <c r="F7" s="94">
        <f>SUM(O11:O95)</f>
        <v>18901342.249935612</v>
      </c>
      <c r="G7" s="103">
        <f>SUMPRODUCT(M11:M95,P11:P95)/SUM(M11:M95)</f>
        <v>0.1622440880871121</v>
      </c>
      <c r="H7" s="94">
        <f>SUM(Q11:Q95)</f>
        <v>18313031.215804331</v>
      </c>
      <c r="I7" s="94">
        <f>+H7-E7</f>
        <v>-163703.39419566467</v>
      </c>
      <c r="J7" s="94">
        <f>+I7*C100</f>
        <v>-4223302.0151568549</v>
      </c>
      <c r="K7" s="99">
        <f>SUMPRODUCT(M11:M95,U11:U95)/SUM(M11:M95)</f>
        <v>0.16200805564113196</v>
      </c>
      <c r="L7" s="101">
        <f>SUM(W11:W95)</f>
        <v>18294131.536753263</v>
      </c>
      <c r="M7" s="101">
        <f>SUM(Z11:Z95)</f>
        <v>-182603.07324674749</v>
      </c>
      <c r="N7" s="101">
        <f>M7*C100</f>
        <v>-4710885.3851562152</v>
      </c>
      <c r="O7" s="101">
        <f>M7-I7</f>
        <v>-18899.679051082814</v>
      </c>
      <c r="P7" s="100">
        <f>O7/I7</f>
        <v>0.11545074641820305</v>
      </c>
    </row>
    <row r="8" spans="2:28" ht="15" thickBot="1" x14ac:dyDescent="0.35">
      <c r="F8" s="52" t="s">
        <v>262</v>
      </c>
    </row>
    <row r="9" spans="2:28" x14ac:dyDescent="0.3">
      <c r="B9" s="126" t="s">
        <v>217</v>
      </c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3" t="s">
        <v>232</v>
      </c>
      <c r="Q9" s="124"/>
      <c r="R9" s="124"/>
      <c r="S9" s="125"/>
      <c r="T9" s="128" t="s">
        <v>233</v>
      </c>
      <c r="U9" s="129"/>
      <c r="V9" s="129"/>
      <c r="W9" s="129"/>
      <c r="X9" s="129"/>
      <c r="Y9" s="129"/>
      <c r="Z9" s="129"/>
      <c r="AA9" s="130"/>
    </row>
    <row r="10" spans="2:28" x14ac:dyDescent="0.3">
      <c r="B10" s="86" t="s">
        <v>200</v>
      </c>
      <c r="C10" s="78" t="s">
        <v>201</v>
      </c>
      <c r="D10" s="78" t="s">
        <v>202</v>
      </c>
      <c r="E10" s="77" t="s">
        <v>216</v>
      </c>
      <c r="F10" s="78" t="s">
        <v>203</v>
      </c>
      <c r="G10" s="78" t="s">
        <v>204</v>
      </c>
      <c r="H10" s="78" t="s">
        <v>234</v>
      </c>
      <c r="I10" s="78" t="s">
        <v>206</v>
      </c>
      <c r="J10" s="78" t="s">
        <v>207</v>
      </c>
      <c r="K10" s="78" t="s">
        <v>208</v>
      </c>
      <c r="L10" s="79" t="s">
        <v>205</v>
      </c>
      <c r="M10" s="80" t="s">
        <v>210</v>
      </c>
      <c r="N10" s="78" t="s">
        <v>211</v>
      </c>
      <c r="O10" s="78" t="s">
        <v>212</v>
      </c>
      <c r="P10" s="83" t="s">
        <v>209</v>
      </c>
      <c r="Q10" s="81" t="s">
        <v>213</v>
      </c>
      <c r="R10" s="81" t="s">
        <v>235</v>
      </c>
      <c r="S10" s="84" t="s">
        <v>236</v>
      </c>
      <c r="T10" s="85" t="s">
        <v>237</v>
      </c>
      <c r="U10" s="82" t="s">
        <v>238</v>
      </c>
      <c r="V10" s="82" t="s">
        <v>239</v>
      </c>
      <c r="W10" s="82" t="s">
        <v>213</v>
      </c>
      <c r="X10" s="82" t="s">
        <v>240</v>
      </c>
      <c r="Y10" s="82" t="s">
        <v>241</v>
      </c>
      <c r="Z10" s="82" t="s">
        <v>242</v>
      </c>
      <c r="AA10" s="87" t="s">
        <v>243</v>
      </c>
      <c r="AB10" s="59"/>
    </row>
    <row r="11" spans="2:28" s="60" customFormat="1" x14ac:dyDescent="0.3">
      <c r="B11" s="89" t="s">
        <v>107</v>
      </c>
      <c r="C11" s="60" t="s">
        <v>108</v>
      </c>
      <c r="D11" s="52" t="s">
        <v>110</v>
      </c>
      <c r="E11" s="60" t="s">
        <v>56</v>
      </c>
      <c r="F11" s="65">
        <v>45663</v>
      </c>
      <c r="G11" s="65">
        <v>45618</v>
      </c>
      <c r="H11" s="65">
        <v>45657</v>
      </c>
      <c r="I11" s="66">
        <f t="shared" ref="I11:I42" si="0">F11-G11</f>
        <v>45</v>
      </c>
      <c r="J11" s="60">
        <f t="shared" ref="J11:J42" si="1">F11-$H$11</f>
        <v>6</v>
      </c>
      <c r="K11" s="67">
        <f t="shared" ref="K11:K42" si="2">+J11/365</f>
        <v>1.643835616438356E-2</v>
      </c>
      <c r="L11" s="54">
        <v>0.1</v>
      </c>
      <c r="M11" s="68">
        <v>166375</v>
      </c>
      <c r="N11" s="68">
        <v>168177.4</v>
      </c>
      <c r="O11" s="68">
        <f>+(M11*L11*I11/365)+M11</f>
        <v>168426.19863013699</v>
      </c>
      <c r="P11" s="69">
        <f t="shared" ref="P11:P33" si="3">+$C$99+$C$101</f>
        <v>0.16239999999999999</v>
      </c>
      <c r="Q11" s="61">
        <f t="shared" ref="Q11:Q42" si="4">+(1/(1+P11)^(K11))*O11</f>
        <v>168010.06819801519</v>
      </c>
      <c r="R11" s="61">
        <f>+Q11-N11</f>
        <v>-167.33180198480841</v>
      </c>
      <c r="S11" s="61">
        <f t="shared" ref="S11:S42" si="5">+R11*$C$100</f>
        <v>-4316.9094935050798</v>
      </c>
      <c r="T11" s="69" cm="1">
        <f t="array" ref="T11">nelson(K11,NSS!$G$3,NSS!$G$4,NSS!$G$5,NSS!$G$6,NSS!$G$7,NSS!$G$8)</f>
        <v>4.1934293179763785E-2</v>
      </c>
      <c r="U11" s="69">
        <f t="shared" ref="U11:U42" si="6">T11+$C$99</f>
        <v>0.1621342931797638</v>
      </c>
      <c r="V11" s="68">
        <f>O11/((T11)*K11+1)</f>
        <v>168310.17723314141</v>
      </c>
      <c r="W11" s="68">
        <f>O11/((T11+$C$99)*K11+1)</f>
        <v>167978.49876438529</v>
      </c>
      <c r="X11" s="68">
        <f>V11-N11</f>
        <v>132.77723314141622</v>
      </c>
      <c r="Y11" s="68">
        <f>W11-V11</f>
        <v>-331.67846875611576</v>
      </c>
      <c r="Z11" s="61">
        <f>+W11-N11</f>
        <v>-198.90123561469954</v>
      </c>
      <c r="AA11" s="90">
        <f t="shared" ref="AA11:AA42" si="7">+Z11*$C$100</f>
        <v>-5131.3535270058264</v>
      </c>
      <c r="AB11" s="61"/>
    </row>
    <row r="12" spans="2:28" s="60" customFormat="1" x14ac:dyDescent="0.3">
      <c r="B12" s="89" t="s">
        <v>107</v>
      </c>
      <c r="C12" s="60" t="s">
        <v>108</v>
      </c>
      <c r="D12" s="52" t="s">
        <v>114</v>
      </c>
      <c r="E12" s="60" t="s">
        <v>45</v>
      </c>
      <c r="F12" s="65">
        <v>45663</v>
      </c>
      <c r="G12" s="65">
        <v>45481</v>
      </c>
      <c r="H12" s="65">
        <v>45657</v>
      </c>
      <c r="I12" s="66">
        <f t="shared" si="0"/>
        <v>182</v>
      </c>
      <c r="J12" s="60">
        <f t="shared" si="1"/>
        <v>6</v>
      </c>
      <c r="K12" s="67">
        <f t="shared" si="2"/>
        <v>1.643835616438356E-2</v>
      </c>
      <c r="L12" s="54">
        <v>0.15</v>
      </c>
      <c r="M12" s="68">
        <v>300000</v>
      </c>
      <c r="N12" s="68">
        <v>322000</v>
      </c>
      <c r="O12" s="68">
        <f t="shared" ref="O12:O42" si="8">+(M12*L12*I12/365)+M12</f>
        <v>322438.35616438359</v>
      </c>
      <c r="P12" s="69">
        <f t="shared" si="3"/>
        <v>0.16239999999999999</v>
      </c>
      <c r="Q12" s="61">
        <f t="shared" si="4"/>
        <v>321641.70805634203</v>
      </c>
      <c r="R12" s="61">
        <f t="shared" ref="R12:R75" si="9">+Q12-N12</f>
        <v>-358.29194365796866</v>
      </c>
      <c r="S12" s="61">
        <f t="shared" si="5"/>
        <v>-9243.3947084601041</v>
      </c>
      <c r="T12" s="69" cm="1">
        <f t="array" ref="T12">nelson(K12,NSS!$G$3,NSS!$G$4,NSS!$G$5,NSS!$G$6,NSS!$G$7,NSS!$G$8)</f>
        <v>4.1934293179763785E-2</v>
      </c>
      <c r="U12" s="69">
        <f t="shared" si="6"/>
        <v>0.1621342931797638</v>
      </c>
      <c r="V12" s="68">
        <f t="shared" ref="V12:V75" si="10">O12/((T12)*K12+1)</f>
        <v>322216.24256904377</v>
      </c>
      <c r="W12" s="68">
        <f>O12/((T12+$C$99)*K12+1)</f>
        <v>321581.2709250201</v>
      </c>
      <c r="X12" s="68">
        <f t="shared" ref="X12:X75" si="11">V12-N12</f>
        <v>216.24256904376671</v>
      </c>
      <c r="Y12" s="68">
        <f t="shared" ref="Y12:Y75" si="12">W12-V12</f>
        <v>-634.97164402366616</v>
      </c>
      <c r="Z12" s="61">
        <f t="shared" ref="Z12:Z42" si="13">+W12-N12</f>
        <v>-418.72907497989945</v>
      </c>
      <c r="AA12" s="90">
        <f t="shared" si="7"/>
        <v>-10802.582040868936</v>
      </c>
      <c r="AB12" s="61"/>
    </row>
    <row r="13" spans="2:28" x14ac:dyDescent="0.3">
      <c r="B13" s="89" t="s">
        <v>107</v>
      </c>
      <c r="C13" s="60" t="s">
        <v>108</v>
      </c>
      <c r="D13" s="52" t="s">
        <v>133</v>
      </c>
      <c r="E13" s="60" t="s">
        <v>59</v>
      </c>
      <c r="F13" s="65">
        <v>45663</v>
      </c>
      <c r="G13" s="65">
        <v>45623</v>
      </c>
      <c r="H13" s="65">
        <v>45657</v>
      </c>
      <c r="I13" s="66">
        <f t="shared" si="0"/>
        <v>40</v>
      </c>
      <c r="J13" s="60">
        <f t="shared" si="1"/>
        <v>6</v>
      </c>
      <c r="K13" s="67">
        <f t="shared" si="2"/>
        <v>1.643835616438356E-2</v>
      </c>
      <c r="L13" s="54">
        <v>0.1</v>
      </c>
      <c r="M13" s="68">
        <v>200000</v>
      </c>
      <c r="N13" s="68">
        <v>201888.89</v>
      </c>
      <c r="O13" s="68">
        <f t="shared" si="8"/>
        <v>202191.78082191781</v>
      </c>
      <c r="P13" s="69">
        <f t="shared" si="3"/>
        <v>0.16239999999999999</v>
      </c>
      <c r="Q13" s="61">
        <f t="shared" si="4"/>
        <v>201692.22580132587</v>
      </c>
      <c r="R13" s="61">
        <f t="shared" si="9"/>
        <v>-196.66419867414515</v>
      </c>
      <c r="S13" s="61">
        <f t="shared" si="5"/>
        <v>-5073.6413294949343</v>
      </c>
      <c r="T13" s="69" cm="1">
        <f t="array" ref="T13">nelson(K13,NSS!$G$3,NSS!$G$4,NSS!$G$5,NSS!$G$6,NSS!$G$7,NSS!$G$8)</f>
        <v>4.1934293179763785E-2</v>
      </c>
      <c r="U13" s="69">
        <f t="shared" si="6"/>
        <v>0.1621342931797638</v>
      </c>
      <c r="V13" s="68">
        <f t="shared" si="10"/>
        <v>202052.49980113373</v>
      </c>
      <c r="W13" s="68">
        <f t="shared" ref="W13:W42" si="14">O13/((T13+$C$99)*K13+1)</f>
        <v>201654.32742175614</v>
      </c>
      <c r="X13" s="68">
        <f t="shared" si="11"/>
        <v>163.60980113371625</v>
      </c>
      <c r="Y13" s="68">
        <f t="shared" si="12"/>
        <v>-398.1723793775891</v>
      </c>
      <c r="Z13" s="61">
        <f t="shared" si="13"/>
        <v>-234.56257824387285</v>
      </c>
      <c r="AA13" s="90">
        <f t="shared" si="7"/>
        <v>-6051.3626748245542</v>
      </c>
      <c r="AB13" s="61"/>
    </row>
    <row r="14" spans="2:28" x14ac:dyDescent="0.3">
      <c r="B14" s="89" t="s">
        <v>155</v>
      </c>
      <c r="C14" s="60" t="s">
        <v>156</v>
      </c>
      <c r="D14" s="52" t="s">
        <v>164</v>
      </c>
      <c r="E14" s="60" t="s">
        <v>154</v>
      </c>
      <c r="F14" s="65">
        <v>45664</v>
      </c>
      <c r="G14" s="65">
        <v>45629</v>
      </c>
      <c r="H14" s="65">
        <v>45657</v>
      </c>
      <c r="I14" s="66">
        <f t="shared" si="0"/>
        <v>35</v>
      </c>
      <c r="J14" s="60">
        <f t="shared" si="1"/>
        <v>7</v>
      </c>
      <c r="K14" s="67">
        <f t="shared" si="2"/>
        <v>1.9178082191780823E-2</v>
      </c>
      <c r="L14" s="54">
        <v>0.05</v>
      </c>
      <c r="M14" s="68">
        <v>259254.16</v>
      </c>
      <c r="N14" s="68">
        <v>260262.37</v>
      </c>
      <c r="O14" s="68">
        <f t="shared" si="8"/>
        <v>260497.15939726029</v>
      </c>
      <c r="P14" s="69">
        <f t="shared" si="3"/>
        <v>0.16239999999999999</v>
      </c>
      <c r="Q14" s="61">
        <f t="shared" si="4"/>
        <v>259746.43570176364</v>
      </c>
      <c r="R14" s="61">
        <f t="shared" si="9"/>
        <v>-515.93429823635961</v>
      </c>
      <c r="S14" s="61">
        <f t="shared" si="5"/>
        <v>-13310.330993050724</v>
      </c>
      <c r="T14" s="69" cm="1">
        <f t="array" ref="T14">nelson(K14,NSS!$G$3,NSS!$G$4,NSS!$G$5,NSS!$G$6,NSS!$G$7,NSS!$G$8)</f>
        <v>4.1945270983280707E-2</v>
      </c>
      <c r="U14" s="69">
        <f t="shared" si="6"/>
        <v>0.16214527098328071</v>
      </c>
      <c r="V14" s="68">
        <f t="shared" si="10"/>
        <v>260287.77613937916</v>
      </c>
      <c r="W14" s="68">
        <f t="shared" si="14"/>
        <v>259689.61938097942</v>
      </c>
      <c r="X14" s="68">
        <f t="shared" si="11"/>
        <v>25.406139379163506</v>
      </c>
      <c r="Y14" s="68">
        <f t="shared" si="12"/>
        <v>-598.15675839973846</v>
      </c>
      <c r="Z14" s="61">
        <f t="shared" si="13"/>
        <v>-572.75061902057496</v>
      </c>
      <c r="AA14" s="90">
        <f t="shared" si="7"/>
        <v>-14776.106844802303</v>
      </c>
      <c r="AB14" s="61"/>
    </row>
    <row r="15" spans="2:28" x14ac:dyDescent="0.3">
      <c r="B15" s="89" t="s">
        <v>155</v>
      </c>
      <c r="C15" s="60" t="s">
        <v>156</v>
      </c>
      <c r="D15" s="52" t="s">
        <v>162</v>
      </c>
      <c r="E15" s="60" t="s">
        <v>154</v>
      </c>
      <c r="F15" s="65">
        <v>45665</v>
      </c>
      <c r="G15" s="65">
        <v>45617</v>
      </c>
      <c r="H15" s="65">
        <v>45657</v>
      </c>
      <c r="I15" s="66">
        <f t="shared" si="0"/>
        <v>48</v>
      </c>
      <c r="J15" s="60">
        <f t="shared" si="1"/>
        <v>8</v>
      </c>
      <c r="K15" s="67">
        <f t="shared" si="2"/>
        <v>2.1917808219178082E-2</v>
      </c>
      <c r="L15" s="54">
        <v>0.05</v>
      </c>
      <c r="M15" s="68">
        <v>603800</v>
      </c>
      <c r="N15" s="68">
        <v>607154.43999999994</v>
      </c>
      <c r="O15" s="68">
        <f t="shared" si="8"/>
        <v>607770.19178082189</v>
      </c>
      <c r="P15" s="69">
        <f t="shared" si="3"/>
        <v>0.16239999999999999</v>
      </c>
      <c r="Q15" s="61">
        <f t="shared" si="4"/>
        <v>605768.86045520194</v>
      </c>
      <c r="R15" s="61">
        <f t="shared" si="9"/>
        <v>-1385.5795447980054</v>
      </c>
      <c r="S15" s="61">
        <f t="shared" si="5"/>
        <v>-35745.873886471345</v>
      </c>
      <c r="T15" s="69" cm="1">
        <f t="array" ref="T15">nelson(K15,NSS!$G$3,NSS!$G$4,NSS!$G$5,NSS!$G$6,NSS!$G$7,NSS!$G$8)</f>
        <v>4.1955994875461193E-2</v>
      </c>
      <c r="U15" s="69">
        <f t="shared" si="6"/>
        <v>0.1621559948754612</v>
      </c>
      <c r="V15" s="68">
        <f t="shared" si="10"/>
        <v>607211.80985024886</v>
      </c>
      <c r="W15" s="68">
        <f t="shared" si="14"/>
        <v>605617.7632675746</v>
      </c>
      <c r="X15" s="68">
        <f t="shared" si="11"/>
        <v>57.369850248913281</v>
      </c>
      <c r="Y15" s="68">
        <f t="shared" si="12"/>
        <v>-1594.0465826742584</v>
      </c>
      <c r="Z15" s="61">
        <f t="shared" si="13"/>
        <v>-1536.6767324253451</v>
      </c>
      <c r="AA15" s="90">
        <f t="shared" si="7"/>
        <v>-39643.954681475268</v>
      </c>
      <c r="AB15" s="61"/>
    </row>
    <row r="16" spans="2:28" x14ac:dyDescent="0.3">
      <c r="B16" s="89" t="s">
        <v>155</v>
      </c>
      <c r="C16" s="60" t="s">
        <v>156</v>
      </c>
      <c r="D16" s="52" t="s">
        <v>166</v>
      </c>
      <c r="E16" s="60" t="s">
        <v>154</v>
      </c>
      <c r="F16" s="65">
        <v>45666</v>
      </c>
      <c r="G16" s="65">
        <v>45631</v>
      </c>
      <c r="H16" s="65">
        <v>45657</v>
      </c>
      <c r="I16" s="66">
        <f t="shared" si="0"/>
        <v>35</v>
      </c>
      <c r="J16" s="60">
        <f>F16-$H$11</f>
        <v>9</v>
      </c>
      <c r="K16" s="67">
        <f t="shared" si="2"/>
        <v>2.4657534246575342E-2</v>
      </c>
      <c r="L16" s="54">
        <v>0.05</v>
      </c>
      <c r="M16" s="68">
        <v>507887.23</v>
      </c>
      <c r="N16" s="68">
        <v>509721.27</v>
      </c>
      <c r="O16" s="68">
        <f t="shared" si="8"/>
        <v>510322.30576027394</v>
      </c>
      <c r="P16" s="69">
        <f t="shared" si="3"/>
        <v>0.16239999999999999</v>
      </c>
      <c r="Q16" s="61">
        <f t="shared" si="4"/>
        <v>508432.19525956473</v>
      </c>
      <c r="R16" s="61">
        <f t="shared" si="9"/>
        <v>-1289.0747404352878</v>
      </c>
      <c r="S16" s="61">
        <f t="shared" si="5"/>
        <v>-33256.194691119774</v>
      </c>
      <c r="T16" s="69" cm="1">
        <f t="array" ref="T16">nelson(K16,NSS!$G$3,NSS!$G$4,NSS!$G$5,NSS!$G$6,NSS!$G$7,NSS!$G$8)</f>
        <v>4.1966466528777474E-2</v>
      </c>
      <c r="U16" s="69">
        <f t="shared" si="6"/>
        <v>0.16216646652877748</v>
      </c>
      <c r="V16" s="68">
        <f t="shared" si="10"/>
        <v>509794.77543583873</v>
      </c>
      <c r="W16" s="68">
        <f t="shared" si="14"/>
        <v>508289.84517539456</v>
      </c>
      <c r="X16" s="68">
        <f t="shared" si="11"/>
        <v>73.505435838713311</v>
      </c>
      <c r="Y16" s="68">
        <f t="shared" si="12"/>
        <v>-1504.9302604441764</v>
      </c>
      <c r="Z16" s="61">
        <f t="shared" si="13"/>
        <v>-1431.4248246054631</v>
      </c>
      <c r="AA16" s="90">
        <f t="shared" si="7"/>
        <v>-36928.613337584044</v>
      </c>
      <c r="AB16" s="61"/>
    </row>
    <row r="17" spans="2:28" x14ac:dyDescent="0.3">
      <c r="B17" s="89" t="s">
        <v>95</v>
      </c>
      <c r="C17" s="60" t="s">
        <v>96</v>
      </c>
      <c r="D17" s="52" t="s">
        <v>100</v>
      </c>
      <c r="E17" s="60" t="s">
        <v>69</v>
      </c>
      <c r="F17" s="65">
        <v>45667</v>
      </c>
      <c r="G17" s="65">
        <v>45635</v>
      </c>
      <c r="H17" s="65">
        <v>45657</v>
      </c>
      <c r="I17" s="66">
        <f t="shared" si="0"/>
        <v>32</v>
      </c>
      <c r="J17" s="60">
        <f t="shared" si="1"/>
        <v>10</v>
      </c>
      <c r="K17" s="67">
        <f t="shared" si="2"/>
        <v>2.7397260273972601E-2</v>
      </c>
      <c r="L17" s="54">
        <v>0.1</v>
      </c>
      <c r="M17" s="68">
        <v>513310.75</v>
      </c>
      <c r="N17" s="68">
        <v>516447.65</v>
      </c>
      <c r="O17" s="68">
        <f t="shared" si="8"/>
        <v>517811.00863013696</v>
      </c>
      <c r="P17" s="69">
        <f t="shared" si="3"/>
        <v>0.16239999999999999</v>
      </c>
      <c r="Q17" s="61">
        <f t="shared" si="4"/>
        <v>515680.50664330507</v>
      </c>
      <c r="R17" s="61">
        <f t="shared" si="9"/>
        <v>-767.14335669495631</v>
      </c>
      <c r="S17" s="61">
        <f t="shared" si="5"/>
        <v>-19791.147887694831</v>
      </c>
      <c r="T17" s="69" cm="1">
        <f t="array" ref="T17">nelson(K17,NSS!$G$3,NSS!$G$4,NSS!$G$5,NSS!$G$6,NSS!$G$7,NSS!$G$8)</f>
        <v>4.1976687611913185E-2</v>
      </c>
      <c r="U17" s="69">
        <f t="shared" si="6"/>
        <v>0.16217668761191317</v>
      </c>
      <c r="V17" s="68">
        <f t="shared" si="10"/>
        <v>517216.18610214151</v>
      </c>
      <c r="W17" s="68">
        <f t="shared" si="14"/>
        <v>515520.4497551372</v>
      </c>
      <c r="X17" s="68">
        <f t="shared" si="11"/>
        <v>768.53610214148648</v>
      </c>
      <c r="Y17" s="68">
        <f t="shared" si="12"/>
        <v>-1695.7363470043056</v>
      </c>
      <c r="Z17" s="61">
        <f t="shared" si="13"/>
        <v>-927.20024486281909</v>
      </c>
      <c r="AA17" s="90">
        <f t="shared" si="7"/>
        <v>-23920.375517093438</v>
      </c>
      <c r="AB17" s="61"/>
    </row>
    <row r="18" spans="2:28" x14ac:dyDescent="0.3">
      <c r="B18" s="89" t="s">
        <v>52</v>
      </c>
      <c r="C18" s="60" t="s">
        <v>53</v>
      </c>
      <c r="D18" s="52" t="s">
        <v>58</v>
      </c>
      <c r="E18" s="60" t="s">
        <v>59</v>
      </c>
      <c r="F18" s="65">
        <v>45669</v>
      </c>
      <c r="G18" s="65">
        <v>45586</v>
      </c>
      <c r="H18" s="65">
        <v>45657</v>
      </c>
      <c r="I18" s="66">
        <f t="shared" si="0"/>
        <v>83</v>
      </c>
      <c r="J18" s="60">
        <f t="shared" si="1"/>
        <v>12</v>
      </c>
      <c r="K18" s="67">
        <f t="shared" si="2"/>
        <v>3.287671232876712E-2</v>
      </c>
      <c r="L18" s="54">
        <v>0.12</v>
      </c>
      <c r="M18" s="68">
        <v>31837.3</v>
      </c>
      <c r="N18" s="68">
        <v>32590.78</v>
      </c>
      <c r="O18" s="68">
        <f t="shared" si="8"/>
        <v>32706.065775342464</v>
      </c>
      <c r="P18" s="69">
        <f t="shared" si="3"/>
        <v>0.16239999999999999</v>
      </c>
      <c r="Q18" s="61">
        <f t="shared" si="4"/>
        <v>32544.651739978159</v>
      </c>
      <c r="R18" s="61">
        <f t="shared" si="9"/>
        <v>-46.128260021840106</v>
      </c>
      <c r="S18" s="61">
        <f t="shared" si="5"/>
        <v>-1190.039916173442</v>
      </c>
      <c r="T18" s="69" cm="1">
        <f t="array" ref="T18">nelson(K18,NSS!$G$3,NSS!$G$4,NSS!$G$5,NSS!$G$6,NSS!$G$7,NSS!$G$8)</f>
        <v>4.1996384719649553E-2</v>
      </c>
      <c r="U18" s="69">
        <f t="shared" si="6"/>
        <v>0.16219638471964956</v>
      </c>
      <c r="V18" s="68">
        <f t="shared" si="10"/>
        <v>32660.97067321503</v>
      </c>
      <c r="W18" s="68">
        <f t="shared" si="14"/>
        <v>32532.586283372828</v>
      </c>
      <c r="X18" s="68">
        <f t="shared" si="11"/>
        <v>70.190673215030984</v>
      </c>
      <c r="Y18" s="68">
        <f t="shared" si="12"/>
        <v>-128.38438984220193</v>
      </c>
      <c r="Z18" s="61">
        <f t="shared" si="13"/>
        <v>-58.193716627170943</v>
      </c>
      <c r="AA18" s="90">
        <f t="shared" si="7"/>
        <v>-1501.3105984060696</v>
      </c>
      <c r="AB18" s="61"/>
    </row>
    <row r="19" spans="2:28" x14ac:dyDescent="0.3">
      <c r="B19" s="89" t="s">
        <v>107</v>
      </c>
      <c r="C19" s="60" t="s">
        <v>108</v>
      </c>
      <c r="D19" s="52" t="s">
        <v>112</v>
      </c>
      <c r="E19" s="60" t="s">
        <v>80</v>
      </c>
      <c r="F19" s="65">
        <v>45670</v>
      </c>
      <c r="G19" s="65">
        <v>45309</v>
      </c>
      <c r="H19" s="65">
        <v>45657</v>
      </c>
      <c r="I19" s="66">
        <f t="shared" si="0"/>
        <v>361</v>
      </c>
      <c r="J19" s="60">
        <f t="shared" si="1"/>
        <v>13</v>
      </c>
      <c r="K19" s="67">
        <f t="shared" si="2"/>
        <v>3.5616438356164383E-2</v>
      </c>
      <c r="L19" s="54">
        <v>0.09</v>
      </c>
      <c r="M19" s="68">
        <v>500000</v>
      </c>
      <c r="N19" s="68">
        <v>543500</v>
      </c>
      <c r="O19" s="68">
        <f t="shared" si="8"/>
        <v>544506.84931506845</v>
      </c>
      <c r="P19" s="69">
        <f t="shared" si="3"/>
        <v>0.16239999999999999</v>
      </c>
      <c r="Q19" s="61">
        <f t="shared" si="4"/>
        <v>541596.20597863756</v>
      </c>
      <c r="R19" s="61">
        <f t="shared" si="9"/>
        <v>-1903.7940213624388</v>
      </c>
      <c r="S19" s="61">
        <f t="shared" si="5"/>
        <v>-49115.030060118879</v>
      </c>
      <c r="T19" s="69" cm="1">
        <f t="array" ref="T19">nelson(K19,NSS!$G$3,NSS!$G$4,NSS!$G$5,NSS!$G$6,NSS!$G$7,NSS!$G$8)</f>
        <v>4.2005864059809939E-2</v>
      </c>
      <c r="U19" s="69">
        <f t="shared" si="6"/>
        <v>0.16220586405980994</v>
      </c>
      <c r="V19" s="68">
        <f t="shared" si="10"/>
        <v>543693.42997253337</v>
      </c>
      <c r="W19" s="68">
        <f t="shared" si="14"/>
        <v>541379.19604487659</v>
      </c>
      <c r="X19" s="68">
        <f t="shared" si="11"/>
        <v>193.42997253336944</v>
      </c>
      <c r="Y19" s="68">
        <f t="shared" si="12"/>
        <v>-2314.23392765678</v>
      </c>
      <c r="Z19" s="61">
        <f t="shared" si="13"/>
        <v>-2120.8039551234106</v>
      </c>
      <c r="AA19" s="90">
        <f t="shared" si="7"/>
        <v>-54713.560836251309</v>
      </c>
      <c r="AB19" s="61"/>
    </row>
    <row r="20" spans="2:28" x14ac:dyDescent="0.3">
      <c r="B20" s="89" t="s">
        <v>155</v>
      </c>
      <c r="C20" s="60" t="s">
        <v>156</v>
      </c>
      <c r="D20" s="52" t="s">
        <v>158</v>
      </c>
      <c r="E20" s="60" t="s">
        <v>154</v>
      </c>
      <c r="F20" s="65">
        <v>45670</v>
      </c>
      <c r="G20" s="65">
        <v>45580</v>
      </c>
      <c r="H20" s="65">
        <v>45657</v>
      </c>
      <c r="I20" s="66">
        <f t="shared" si="0"/>
        <v>90</v>
      </c>
      <c r="J20" s="60">
        <f t="shared" si="1"/>
        <v>13</v>
      </c>
      <c r="K20" s="67">
        <f t="shared" si="2"/>
        <v>3.5616438356164383E-2</v>
      </c>
      <c r="L20" s="54">
        <v>7.0000000000000007E-2</v>
      </c>
      <c r="M20" s="68">
        <v>4440113.32</v>
      </c>
      <c r="N20" s="68">
        <v>4506591.68</v>
      </c>
      <c r="O20" s="68">
        <f t="shared" si="8"/>
        <v>4516750.8923726026</v>
      </c>
      <c r="P20" s="69">
        <f t="shared" si="3"/>
        <v>0.16239999999999999</v>
      </c>
      <c r="Q20" s="61">
        <f t="shared" si="4"/>
        <v>4492606.7500101328</v>
      </c>
      <c r="R20" s="61">
        <f t="shared" si="9"/>
        <v>-13984.929989866912</v>
      </c>
      <c r="S20" s="61">
        <f t="shared" si="5"/>
        <v>-360790.21634358156</v>
      </c>
      <c r="T20" s="69" cm="1">
        <f t="array" ref="T20">nelson(K20,NSS!$G$3,NSS!$G$4,NSS!$G$5,NSS!$G$6,NSS!$G$7,NSS!$G$8)</f>
        <v>4.2005864059809939E-2</v>
      </c>
      <c r="U20" s="69">
        <f t="shared" si="6"/>
        <v>0.16220586405980994</v>
      </c>
      <c r="V20" s="68">
        <f t="shared" si="10"/>
        <v>4510003.4794688169</v>
      </c>
      <c r="W20" s="68">
        <f t="shared" si="14"/>
        <v>4490806.6260756012</v>
      </c>
      <c r="X20" s="68">
        <f t="shared" si="11"/>
        <v>3411.7994688171893</v>
      </c>
      <c r="Y20" s="68">
        <f t="shared" si="12"/>
        <v>-19196.853393215686</v>
      </c>
      <c r="Z20" s="61">
        <f t="shared" si="13"/>
        <v>-15785.053924398497</v>
      </c>
      <c r="AA20" s="90">
        <f t="shared" si="7"/>
        <v>-407230.7136685946</v>
      </c>
      <c r="AB20" s="61"/>
    </row>
    <row r="21" spans="2:28" x14ac:dyDescent="0.3">
      <c r="B21" s="89" t="s">
        <v>155</v>
      </c>
      <c r="C21" s="60" t="s">
        <v>156</v>
      </c>
      <c r="D21" s="52" t="s">
        <v>168</v>
      </c>
      <c r="E21" s="60" t="s">
        <v>154</v>
      </c>
      <c r="F21" s="65">
        <v>45672</v>
      </c>
      <c r="G21" s="65">
        <v>45637</v>
      </c>
      <c r="H21" s="65">
        <v>45657</v>
      </c>
      <c r="I21" s="66">
        <f t="shared" si="0"/>
        <v>35</v>
      </c>
      <c r="J21" s="60">
        <f t="shared" si="1"/>
        <v>15</v>
      </c>
      <c r="K21" s="67">
        <f t="shared" si="2"/>
        <v>4.1095890410958902E-2</v>
      </c>
      <c r="L21" s="54">
        <v>0.05</v>
      </c>
      <c r="M21" s="68">
        <v>223153.84</v>
      </c>
      <c r="N21" s="68">
        <v>223773.71</v>
      </c>
      <c r="O21" s="68">
        <f t="shared" si="8"/>
        <v>224223.75567123288</v>
      </c>
      <c r="P21" s="69">
        <f t="shared" si="3"/>
        <v>0.16239999999999999</v>
      </c>
      <c r="Q21" s="61">
        <f t="shared" si="4"/>
        <v>222841.34750922801</v>
      </c>
      <c r="R21" s="61">
        <f t="shared" si="9"/>
        <v>-932.36249077197863</v>
      </c>
      <c r="S21" s="61">
        <f t="shared" si="5"/>
        <v>-24053.55371818089</v>
      </c>
      <c r="T21" s="69" cm="1">
        <f t="array" ref="T21">nelson(K21,NSS!$G$3,NSS!$G$4,NSS!$G$5,NSS!$G$6,NSS!$G$7,NSS!$G$8)</f>
        <v>4.2024092569553716E-2</v>
      </c>
      <c r="U21" s="69">
        <f t="shared" si="6"/>
        <v>0.16222409256955372</v>
      </c>
      <c r="V21" s="68">
        <f t="shared" si="10"/>
        <v>223837.18493505951</v>
      </c>
      <c r="W21" s="68">
        <f t="shared" si="14"/>
        <v>222738.81312986254</v>
      </c>
      <c r="X21" s="68">
        <f t="shared" si="11"/>
        <v>63.474935059522977</v>
      </c>
      <c r="Y21" s="68">
        <f t="shared" si="12"/>
        <v>-1098.3718051969772</v>
      </c>
      <c r="Z21" s="61">
        <f t="shared" si="13"/>
        <v>-1034.8968701374542</v>
      </c>
      <c r="AA21" s="90">
        <f t="shared" si="7"/>
        <v>-26698.786904241115</v>
      </c>
      <c r="AB21" s="61"/>
    </row>
    <row r="22" spans="2:28" x14ac:dyDescent="0.3">
      <c r="B22" s="89" t="s">
        <v>155</v>
      </c>
      <c r="C22" s="60" t="s">
        <v>156</v>
      </c>
      <c r="D22" s="52" t="s">
        <v>160</v>
      </c>
      <c r="E22" s="60" t="s">
        <v>154</v>
      </c>
      <c r="F22" s="65">
        <v>45673</v>
      </c>
      <c r="G22" s="65">
        <v>45616</v>
      </c>
      <c r="H22" s="65">
        <v>45657</v>
      </c>
      <c r="I22" s="66">
        <f t="shared" si="0"/>
        <v>57</v>
      </c>
      <c r="J22" s="60">
        <f t="shared" si="1"/>
        <v>16</v>
      </c>
      <c r="K22" s="67">
        <f t="shared" si="2"/>
        <v>4.3835616438356165E-2</v>
      </c>
      <c r="L22" s="54">
        <v>0.05</v>
      </c>
      <c r="M22" s="68">
        <v>572780.26</v>
      </c>
      <c r="N22" s="68">
        <v>576041.93000000005</v>
      </c>
      <c r="O22" s="68">
        <f t="shared" si="8"/>
        <v>577252.65381095896</v>
      </c>
      <c r="P22" s="69">
        <f t="shared" si="3"/>
        <v>0.16239999999999999</v>
      </c>
      <c r="Q22" s="61">
        <f t="shared" si="4"/>
        <v>573457.23334030213</v>
      </c>
      <c r="R22" s="61">
        <f t="shared" si="9"/>
        <v>-2584.6966596979182</v>
      </c>
      <c r="S22" s="61">
        <f t="shared" si="5"/>
        <v>-66681.296775216746</v>
      </c>
      <c r="T22" s="69" cm="1">
        <f t="array" ref="T22">nelson(K22,NSS!$G$3,NSS!$G$4,NSS!$G$5,NSS!$G$6,NSS!$G$7,NSS!$G$8)</f>
        <v>4.2032845029058886E-2</v>
      </c>
      <c r="U22" s="69">
        <f t="shared" si="6"/>
        <v>0.16223284502905888</v>
      </c>
      <c r="V22" s="68">
        <f t="shared" si="10"/>
        <v>576191.00133681856</v>
      </c>
      <c r="W22" s="68">
        <f t="shared" si="14"/>
        <v>573176.4653756019</v>
      </c>
      <c r="X22" s="68">
        <f t="shared" si="11"/>
        <v>149.07133681850974</v>
      </c>
      <c r="Y22" s="68">
        <f t="shared" si="12"/>
        <v>-3014.5359612166649</v>
      </c>
      <c r="Z22" s="61">
        <f t="shared" si="13"/>
        <v>-2865.4646243981551</v>
      </c>
      <c r="AA22" s="90">
        <f t="shared" si="7"/>
        <v>-73924.689112535809</v>
      </c>
      <c r="AB22" s="61"/>
    </row>
    <row r="23" spans="2:28" x14ac:dyDescent="0.3">
      <c r="B23" s="89" t="s">
        <v>52</v>
      </c>
      <c r="C23" s="60" t="s">
        <v>53</v>
      </c>
      <c r="D23" s="52" t="s">
        <v>61</v>
      </c>
      <c r="E23" s="60" t="s">
        <v>59</v>
      </c>
      <c r="F23" s="65">
        <v>45674</v>
      </c>
      <c r="G23" s="65">
        <v>45644</v>
      </c>
      <c r="H23" s="65">
        <v>45657</v>
      </c>
      <c r="I23" s="66">
        <f t="shared" si="0"/>
        <v>30</v>
      </c>
      <c r="J23" s="60">
        <f t="shared" si="1"/>
        <v>17</v>
      </c>
      <c r="K23" s="67">
        <f t="shared" si="2"/>
        <v>4.6575342465753428E-2</v>
      </c>
      <c r="L23" s="54">
        <v>0.09</v>
      </c>
      <c r="M23" s="68">
        <v>69991.66</v>
      </c>
      <c r="N23" s="68">
        <v>70219.13</v>
      </c>
      <c r="O23" s="68">
        <f t="shared" si="8"/>
        <v>70509.406526027407</v>
      </c>
      <c r="P23" s="69">
        <f t="shared" si="3"/>
        <v>0.16239999999999999</v>
      </c>
      <c r="Q23" s="61">
        <f t="shared" si="4"/>
        <v>70016.935676487308</v>
      </c>
      <c r="R23" s="61">
        <f t="shared" si="9"/>
        <v>-202.19432351269643</v>
      </c>
      <c r="S23" s="61">
        <f t="shared" si="5"/>
        <v>-5216.310255142299</v>
      </c>
      <c r="T23" s="69" cm="1">
        <f t="array" ref="T23">nelson(K23,NSS!$G$3,NSS!$G$4,NSS!$G$5,NSS!$G$6,NSS!$G$7,NSS!$G$8)</f>
        <v>4.2041358477925547E-2</v>
      </c>
      <c r="U23" s="69">
        <f t="shared" si="6"/>
        <v>0.16224135847792553</v>
      </c>
      <c r="V23" s="68">
        <f t="shared" si="10"/>
        <v>70371.612528185113</v>
      </c>
      <c r="W23" s="68">
        <f t="shared" si="14"/>
        <v>69980.601828950312</v>
      </c>
      <c r="X23" s="68">
        <f t="shared" si="11"/>
        <v>152.48252818510809</v>
      </c>
      <c r="Y23" s="68">
        <f t="shared" si="12"/>
        <v>-391.010699234801</v>
      </c>
      <c r="Z23" s="61">
        <f t="shared" si="13"/>
        <v>-238.5281710496929</v>
      </c>
      <c r="AA23" s="90">
        <f t="shared" si="7"/>
        <v>-6153.6690208255022</v>
      </c>
      <c r="AB23" s="61"/>
    </row>
    <row r="24" spans="2:28" x14ac:dyDescent="0.3">
      <c r="B24" s="89" t="s">
        <v>76</v>
      </c>
      <c r="C24" s="60" t="s">
        <v>77</v>
      </c>
      <c r="D24" s="52" t="s">
        <v>61</v>
      </c>
      <c r="E24" s="60" t="s">
        <v>59</v>
      </c>
      <c r="F24" s="65">
        <v>45674</v>
      </c>
      <c r="G24" s="65">
        <v>45644</v>
      </c>
      <c r="H24" s="65">
        <v>45657</v>
      </c>
      <c r="I24" s="66">
        <f t="shared" si="0"/>
        <v>30</v>
      </c>
      <c r="J24" s="60">
        <f t="shared" si="1"/>
        <v>17</v>
      </c>
      <c r="K24" s="67">
        <f t="shared" si="2"/>
        <v>4.6575342465753428E-2</v>
      </c>
      <c r="L24" s="54">
        <v>0.09</v>
      </c>
      <c r="M24" s="68">
        <v>324797.09999999998</v>
      </c>
      <c r="N24" s="68">
        <v>325852.69</v>
      </c>
      <c r="O24" s="68">
        <f t="shared" si="8"/>
        <v>327199.70868493151</v>
      </c>
      <c r="P24" s="69">
        <f t="shared" si="3"/>
        <v>0.16239999999999999</v>
      </c>
      <c r="Q24" s="61">
        <f t="shared" si="4"/>
        <v>324914.3920662778</v>
      </c>
      <c r="R24" s="61">
        <f t="shared" si="9"/>
        <v>-938.29793372220593</v>
      </c>
      <c r="S24" s="61">
        <f t="shared" si="5"/>
        <v>-24206.67924313233</v>
      </c>
      <c r="T24" s="69" cm="1">
        <f t="array" ref="T24">nelson(K24,NSS!$G$3,NSS!$G$4,NSS!$G$5,NSS!$G$6,NSS!$G$7,NSS!$G$8)</f>
        <v>4.2041358477925547E-2</v>
      </c>
      <c r="U24" s="69">
        <f t="shared" si="6"/>
        <v>0.16224135847792553</v>
      </c>
      <c r="V24" s="68">
        <f t="shared" si="10"/>
        <v>326560.27405948349</v>
      </c>
      <c r="W24" s="68">
        <f t="shared" si="14"/>
        <v>324745.78443057003</v>
      </c>
      <c r="X24" s="68">
        <f t="shared" si="11"/>
        <v>707.58405948348809</v>
      </c>
      <c r="Y24" s="68">
        <f t="shared" si="12"/>
        <v>-1814.4896289134631</v>
      </c>
      <c r="Z24" s="61">
        <f t="shared" si="13"/>
        <v>-1106.905569429975</v>
      </c>
      <c r="AA24" s="90">
        <f t="shared" si="7"/>
        <v>-28556.50333293921</v>
      </c>
      <c r="AB24" s="61"/>
    </row>
    <row r="25" spans="2:28" x14ac:dyDescent="0.3">
      <c r="B25" s="89" t="s">
        <v>146</v>
      </c>
      <c r="C25" s="60" t="s">
        <v>147</v>
      </c>
      <c r="D25" s="52" t="s">
        <v>61</v>
      </c>
      <c r="E25" s="60" t="s">
        <v>59</v>
      </c>
      <c r="F25" s="65">
        <v>45674</v>
      </c>
      <c r="G25" s="65">
        <v>45644</v>
      </c>
      <c r="H25" s="65">
        <v>45657</v>
      </c>
      <c r="I25" s="66">
        <f t="shared" si="0"/>
        <v>30</v>
      </c>
      <c r="J25" s="60">
        <f t="shared" si="1"/>
        <v>17</v>
      </c>
      <c r="K25" s="67">
        <f t="shared" si="2"/>
        <v>4.6575342465753428E-2</v>
      </c>
      <c r="L25" s="54">
        <v>0.09</v>
      </c>
      <c r="M25" s="68">
        <v>30207.08</v>
      </c>
      <c r="N25" s="68">
        <v>30305.25</v>
      </c>
      <c r="O25" s="68">
        <f t="shared" si="8"/>
        <v>30430.529632876714</v>
      </c>
      <c r="P25" s="69">
        <f t="shared" si="3"/>
        <v>0.16239999999999999</v>
      </c>
      <c r="Q25" s="61">
        <f t="shared" si="4"/>
        <v>30217.988505123412</v>
      </c>
      <c r="R25" s="61">
        <f t="shared" si="9"/>
        <v>-87.261494876587676</v>
      </c>
      <c r="S25" s="61">
        <f t="shared" si="5"/>
        <v>-2251.2156755736473</v>
      </c>
      <c r="T25" s="69" cm="1">
        <f t="array" ref="T25">nelson(K25,NSS!$G$3,NSS!$G$4,NSS!$G$5,NSS!$G$6,NSS!$G$7,NSS!$G$8)</f>
        <v>4.2041358477925547E-2</v>
      </c>
      <c r="U25" s="69">
        <f t="shared" si="6"/>
        <v>0.16224135847792553</v>
      </c>
      <c r="V25" s="68">
        <f t="shared" si="10"/>
        <v>30371.060343016437</v>
      </c>
      <c r="W25" s="68">
        <f t="shared" si="14"/>
        <v>30202.307501997355</v>
      </c>
      <c r="X25" s="68">
        <f t="shared" si="11"/>
        <v>65.8103430164374</v>
      </c>
      <c r="Y25" s="68">
        <f t="shared" si="12"/>
        <v>-168.75284101908255</v>
      </c>
      <c r="Z25" s="61">
        <f t="shared" si="13"/>
        <v>-102.94249800264515</v>
      </c>
      <c r="AA25" s="90">
        <f t="shared" si="7"/>
        <v>-2655.762034721241</v>
      </c>
      <c r="AB25" s="61"/>
    </row>
    <row r="26" spans="2:28" x14ac:dyDescent="0.3">
      <c r="B26" s="89" t="s">
        <v>150</v>
      </c>
      <c r="C26" s="60" t="s">
        <v>151</v>
      </c>
      <c r="D26" s="52" t="s">
        <v>153</v>
      </c>
      <c r="E26" s="60" t="s">
        <v>154</v>
      </c>
      <c r="F26" s="65">
        <v>45678</v>
      </c>
      <c r="G26" s="65">
        <v>45643</v>
      </c>
      <c r="H26" s="65">
        <v>45657</v>
      </c>
      <c r="I26" s="66">
        <f t="shared" si="0"/>
        <v>35</v>
      </c>
      <c r="J26" s="60">
        <f t="shared" si="1"/>
        <v>21</v>
      </c>
      <c r="K26" s="67">
        <f t="shared" si="2"/>
        <v>5.7534246575342465E-2</v>
      </c>
      <c r="L26" s="54">
        <v>0.05</v>
      </c>
      <c r="M26" s="68">
        <v>3191.23</v>
      </c>
      <c r="N26" s="68">
        <v>3197.44</v>
      </c>
      <c r="O26" s="68">
        <f t="shared" si="8"/>
        <v>3206.5304178082192</v>
      </c>
      <c r="P26" s="69">
        <f t="shared" si="3"/>
        <v>0.16239999999999999</v>
      </c>
      <c r="Q26" s="61">
        <f t="shared" si="4"/>
        <v>3178.8876477240428</v>
      </c>
      <c r="R26" s="61">
        <f t="shared" si="9"/>
        <v>-18.552352275957219</v>
      </c>
      <c r="S26" s="61">
        <f t="shared" si="5"/>
        <v>-478.62286019128231</v>
      </c>
      <c r="T26" s="69" cm="1">
        <f t="array" ref="T26">nelson(K26,NSS!$G$3,NSS!$G$4,NSS!$G$5,NSS!$G$6,NSS!$G$7,NSS!$G$8)</f>
        <v>4.2073054791434264E-2</v>
      </c>
      <c r="U26" s="69">
        <f t="shared" si="6"/>
        <v>0.16227305479143428</v>
      </c>
      <c r="V26" s="68">
        <f t="shared" si="10"/>
        <v>3198.7873004916319</v>
      </c>
      <c r="W26" s="68">
        <f t="shared" si="14"/>
        <v>3176.8703368792453</v>
      </c>
      <c r="X26" s="68">
        <f t="shared" si="11"/>
        <v>1.3473004916318132</v>
      </c>
      <c r="Y26" s="68">
        <f t="shared" si="12"/>
        <v>-21.916963612386553</v>
      </c>
      <c r="Z26" s="61">
        <f t="shared" si="13"/>
        <v>-20.56966312075474</v>
      </c>
      <c r="AA26" s="90">
        <f t="shared" si="7"/>
        <v>-530.66645402079121</v>
      </c>
      <c r="AB26" s="61"/>
    </row>
    <row r="27" spans="2:28" customFormat="1" x14ac:dyDescent="0.3">
      <c r="B27" s="119" t="s">
        <v>107</v>
      </c>
      <c r="C27" s="20" t="s">
        <v>108</v>
      </c>
      <c r="D27" t="s">
        <v>174</v>
      </c>
      <c r="E27" s="20" t="s">
        <v>175</v>
      </c>
      <c r="F27" s="18">
        <v>45678</v>
      </c>
      <c r="G27" s="18">
        <v>45408</v>
      </c>
      <c r="H27" s="18">
        <v>45657</v>
      </c>
      <c r="I27" s="104">
        <f>F27-G27</f>
        <v>270</v>
      </c>
      <c r="J27" s="20">
        <f t="shared" si="1"/>
        <v>21</v>
      </c>
      <c r="K27" s="21">
        <f>+J27/365</f>
        <v>5.7534246575342465E-2</v>
      </c>
      <c r="L27" s="106">
        <v>0.12</v>
      </c>
      <c r="M27" s="107">
        <v>100000</v>
      </c>
      <c r="N27" s="107">
        <v>178966.67</v>
      </c>
      <c r="O27" s="107">
        <f>+(M27*L27*I27/365)+M27</f>
        <v>108876.71232876713</v>
      </c>
      <c r="P27" s="105">
        <f t="shared" si="3"/>
        <v>0.16239999999999999</v>
      </c>
      <c r="Q27" s="25">
        <f>+(1/(1+P27)^(K27))*O27</f>
        <v>107938.11093278151</v>
      </c>
      <c r="R27" s="61">
        <f t="shared" si="9"/>
        <v>-71028.559067218506</v>
      </c>
      <c r="S27" s="25">
        <f t="shared" si="5"/>
        <v>-1832430.2810956368</v>
      </c>
      <c r="T27" s="105" cm="1">
        <f t="array" ref="T27">nelson(K27,NSS!$G$3,NSS!$G$4,NSS!$G$5,NSS!$G$6,NSS!$G$7,NSS!$G$8)</f>
        <v>4.2073054791434264E-2</v>
      </c>
      <c r="U27" s="105">
        <f t="shared" si="6"/>
        <v>0.16227305479143428</v>
      </c>
      <c r="V27" s="107">
        <f t="shared" si="10"/>
        <v>108613.79726271195</v>
      </c>
      <c r="W27" s="107">
        <f t="shared" si="14"/>
        <v>107869.61378979265</v>
      </c>
      <c r="X27" s="107">
        <f t="shared" si="11"/>
        <v>-70352.872737288068</v>
      </c>
      <c r="Y27" s="107">
        <f t="shared" si="12"/>
        <v>-744.1834729192924</v>
      </c>
      <c r="Z27" s="25">
        <f t="shared" si="13"/>
        <v>-71097.05621020736</v>
      </c>
      <c r="AA27" s="120">
        <f t="shared" si="7"/>
        <v>-1834197.4046390345</v>
      </c>
      <c r="AB27" s="25"/>
    </row>
    <row r="28" spans="2:28" x14ac:dyDescent="0.3">
      <c r="B28" s="89" t="s">
        <v>155</v>
      </c>
      <c r="C28" s="60" t="s">
        <v>156</v>
      </c>
      <c r="D28" s="52" t="s">
        <v>170</v>
      </c>
      <c r="E28" s="60" t="s">
        <v>154</v>
      </c>
      <c r="F28" s="65">
        <v>45679</v>
      </c>
      <c r="G28" s="65">
        <v>45645</v>
      </c>
      <c r="H28" s="65">
        <v>45657</v>
      </c>
      <c r="I28" s="66">
        <f t="shared" si="0"/>
        <v>34</v>
      </c>
      <c r="J28" s="60">
        <f t="shared" si="1"/>
        <v>22</v>
      </c>
      <c r="K28" s="67">
        <f t="shared" si="2"/>
        <v>6.0273972602739728E-2</v>
      </c>
      <c r="L28" s="54">
        <v>0.05</v>
      </c>
      <c r="M28" s="68">
        <v>215704.57</v>
      </c>
      <c r="N28" s="68">
        <v>216064.08</v>
      </c>
      <c r="O28" s="68">
        <f t="shared" si="8"/>
        <v>216709.22142191781</v>
      </c>
      <c r="P28" s="69">
        <f t="shared" si="3"/>
        <v>0.16239999999999999</v>
      </c>
      <c r="Q28" s="61">
        <f t="shared" si="4"/>
        <v>214752.46134306263</v>
      </c>
      <c r="R28" s="61">
        <f t="shared" si="9"/>
        <v>-1311.6186569373531</v>
      </c>
      <c r="S28" s="61">
        <f t="shared" si="5"/>
        <v>-33837.793920998301</v>
      </c>
      <c r="T28" s="69" cm="1">
        <f t="array" ref="T28">nelson(K28,NSS!$G$3,NSS!$G$4,NSS!$G$5,NSS!$G$6,NSS!$G$7,NSS!$G$8)</f>
        <v>4.2080397618614367E-2</v>
      </c>
      <c r="U28" s="69">
        <f t="shared" si="6"/>
        <v>0.16228039761861437</v>
      </c>
      <c r="V28" s="68">
        <f t="shared" si="10"/>
        <v>216160.96097773581</v>
      </c>
      <c r="W28" s="68">
        <f t="shared" si="14"/>
        <v>214610.05942986542</v>
      </c>
      <c r="X28" s="68">
        <f t="shared" si="11"/>
        <v>96.880977735825581</v>
      </c>
      <c r="Y28" s="68">
        <f t="shared" si="12"/>
        <v>-1550.901547870395</v>
      </c>
      <c r="Z28" s="61">
        <f t="shared" si="13"/>
        <v>-1454.0205701345694</v>
      </c>
      <c r="AA28" s="90">
        <f t="shared" si="7"/>
        <v>-37511.549678616691</v>
      </c>
      <c r="AB28" s="61"/>
    </row>
    <row r="29" spans="2:28" x14ac:dyDescent="0.3">
      <c r="B29" s="89" t="s">
        <v>52</v>
      </c>
      <c r="C29" s="60" t="s">
        <v>53</v>
      </c>
      <c r="D29" s="52" t="s">
        <v>55</v>
      </c>
      <c r="E29" s="60" t="s">
        <v>56</v>
      </c>
      <c r="F29" s="65">
        <v>45684</v>
      </c>
      <c r="G29" s="65">
        <v>45594</v>
      </c>
      <c r="H29" s="65">
        <v>45657</v>
      </c>
      <c r="I29" s="66">
        <f t="shared" si="0"/>
        <v>90</v>
      </c>
      <c r="J29" s="60">
        <f t="shared" si="1"/>
        <v>27</v>
      </c>
      <c r="K29" s="67">
        <f t="shared" si="2"/>
        <v>7.3972602739726029E-2</v>
      </c>
      <c r="L29" s="54">
        <v>0.14499999999999999</v>
      </c>
      <c r="M29" s="68">
        <v>48321.63</v>
      </c>
      <c r="N29" s="68">
        <v>49547.79</v>
      </c>
      <c r="O29" s="68">
        <f t="shared" si="8"/>
        <v>50049.293757534244</v>
      </c>
      <c r="P29" s="69">
        <f t="shared" si="3"/>
        <v>0.16239999999999999</v>
      </c>
      <c r="Q29" s="61">
        <f t="shared" si="4"/>
        <v>49495.239448281762</v>
      </c>
      <c r="R29" s="61">
        <f t="shared" si="9"/>
        <v>-52.550551718239149</v>
      </c>
      <c r="S29" s="61">
        <f t="shared" si="5"/>
        <v>-1355.7254085029927</v>
      </c>
      <c r="T29" s="69" cm="1">
        <f t="array" ref="T29">nelson(K29,NSS!$G$3,NSS!$G$4,NSS!$G$5,NSS!$G$6,NSS!$G$7,NSS!$G$8)</f>
        <v>4.2113704864783705E-2</v>
      </c>
      <c r="U29" s="69">
        <f t="shared" si="6"/>
        <v>0.16231370486478369</v>
      </c>
      <c r="V29" s="68">
        <f t="shared" si="10"/>
        <v>49893.861388948862</v>
      </c>
      <c r="W29" s="68">
        <f t="shared" si="14"/>
        <v>49455.493163900312</v>
      </c>
      <c r="X29" s="68">
        <f t="shared" si="11"/>
        <v>346.07138894886157</v>
      </c>
      <c r="Y29" s="68">
        <f t="shared" si="12"/>
        <v>-438.36822504855081</v>
      </c>
      <c r="Z29" s="61">
        <f t="shared" si="13"/>
        <v>-92.296836099689244</v>
      </c>
      <c r="AA29" s="90">
        <f t="shared" si="7"/>
        <v>-2381.1199261178331</v>
      </c>
      <c r="AB29" s="61"/>
    </row>
    <row r="30" spans="2:28" x14ac:dyDescent="0.3">
      <c r="B30" s="89" t="s">
        <v>65</v>
      </c>
      <c r="C30" s="60" t="s">
        <v>66</v>
      </c>
      <c r="D30" s="52" t="s">
        <v>55</v>
      </c>
      <c r="E30" s="60" t="s">
        <v>56</v>
      </c>
      <c r="F30" s="65">
        <v>45684</v>
      </c>
      <c r="G30" s="65">
        <v>45594</v>
      </c>
      <c r="H30" s="65">
        <v>45657</v>
      </c>
      <c r="I30" s="66">
        <f t="shared" si="0"/>
        <v>90</v>
      </c>
      <c r="J30" s="60">
        <f t="shared" si="1"/>
        <v>27</v>
      </c>
      <c r="K30" s="67">
        <f t="shared" si="2"/>
        <v>7.3972602739726029E-2</v>
      </c>
      <c r="L30" s="54">
        <v>0.14499999999999999</v>
      </c>
      <c r="M30" s="68">
        <v>21476.28</v>
      </c>
      <c r="N30" s="68">
        <v>22021.24</v>
      </c>
      <c r="O30" s="68">
        <f t="shared" si="8"/>
        <v>22244.130558904108</v>
      </c>
      <c r="P30" s="69">
        <f>+$C$99+$C$101</f>
        <v>0.16239999999999999</v>
      </c>
      <c r="Q30" s="61">
        <f t="shared" si="4"/>
        <v>21997.884199236338</v>
      </c>
      <c r="R30" s="61">
        <f t="shared" si="9"/>
        <v>-23.355800763663865</v>
      </c>
      <c r="S30" s="61">
        <f t="shared" si="5"/>
        <v>-602.5446260013822</v>
      </c>
      <c r="T30" s="69" cm="1">
        <f t="array" ref="T30">nelson(K30,NSS!$G$3,NSS!$G$4,NSS!$G$5,NSS!$G$6,NSS!$G$7,NSS!$G$8)</f>
        <v>4.2113704864783705E-2</v>
      </c>
      <c r="U30" s="69">
        <f t="shared" si="6"/>
        <v>0.16231370486478369</v>
      </c>
      <c r="V30" s="68">
        <f t="shared" si="10"/>
        <v>22175.049506199495</v>
      </c>
      <c r="W30" s="68">
        <f t="shared" si="14"/>
        <v>21980.219183955694</v>
      </c>
      <c r="X30" s="68">
        <f t="shared" si="11"/>
        <v>153.80950619949363</v>
      </c>
      <c r="Y30" s="68">
        <f t="shared" si="12"/>
        <v>-194.83032224380077</v>
      </c>
      <c r="Z30" s="61">
        <f t="shared" si="13"/>
        <v>-41.020816044307139</v>
      </c>
      <c r="AA30" s="90">
        <f t="shared" si="7"/>
        <v>-1058.2755227190578</v>
      </c>
      <c r="AB30" s="61"/>
    </row>
    <row r="31" spans="2:28" x14ac:dyDescent="0.3">
      <c r="B31" s="89" t="s">
        <v>27</v>
      </c>
      <c r="C31" s="60" t="s">
        <v>28</v>
      </c>
      <c r="D31" s="52" t="s">
        <v>55</v>
      </c>
      <c r="E31" s="60" t="s">
        <v>56</v>
      </c>
      <c r="F31" s="65">
        <v>45684</v>
      </c>
      <c r="G31" s="65">
        <v>45594</v>
      </c>
      <c r="H31" s="65">
        <v>45657</v>
      </c>
      <c r="I31" s="66">
        <f t="shared" si="0"/>
        <v>90</v>
      </c>
      <c r="J31" s="60">
        <f t="shared" si="1"/>
        <v>27</v>
      </c>
      <c r="K31" s="67">
        <f t="shared" si="2"/>
        <v>7.3972602739726029E-2</v>
      </c>
      <c r="L31" s="54">
        <v>0.14499999999999999</v>
      </c>
      <c r="M31" s="68">
        <v>123488.62</v>
      </c>
      <c r="N31" s="68">
        <v>126622.14</v>
      </c>
      <c r="O31" s="68">
        <f t="shared" si="8"/>
        <v>127903.76107123288</v>
      </c>
      <c r="P31" s="69">
        <f t="shared" si="3"/>
        <v>0.16239999999999999</v>
      </c>
      <c r="Q31" s="61">
        <f t="shared" si="4"/>
        <v>126487.8443884835</v>
      </c>
      <c r="R31" s="61">
        <f t="shared" si="9"/>
        <v>-134.29561151649978</v>
      </c>
      <c r="S31" s="61">
        <f t="shared" si="5"/>
        <v>-3464.6253337084195</v>
      </c>
      <c r="T31" s="69" cm="1">
        <f t="array" ref="T31">nelson(K31,NSS!$G$3,NSS!$G$4,NSS!$G$5,NSS!$G$6,NSS!$G$7,NSS!$G$8)</f>
        <v>4.2113704864783705E-2</v>
      </c>
      <c r="U31" s="69">
        <f t="shared" si="6"/>
        <v>0.16231370486478369</v>
      </c>
      <c r="V31" s="68">
        <f t="shared" si="10"/>
        <v>127506.54498601514</v>
      </c>
      <c r="W31" s="68">
        <f t="shared" si="14"/>
        <v>126386.27054239444</v>
      </c>
      <c r="X31" s="68">
        <f t="shared" si="11"/>
        <v>884.40498601514264</v>
      </c>
      <c r="Y31" s="68">
        <f t="shared" si="12"/>
        <v>-1120.2744436206995</v>
      </c>
      <c r="Z31" s="61">
        <f t="shared" si="13"/>
        <v>-235.86945760555682</v>
      </c>
      <c r="AA31" s="90">
        <f t="shared" si="7"/>
        <v>-6085.0782020369579</v>
      </c>
      <c r="AB31" s="61"/>
    </row>
    <row r="32" spans="2:28" x14ac:dyDescent="0.3">
      <c r="B32" s="89" t="s">
        <v>107</v>
      </c>
      <c r="C32" s="60" t="s">
        <v>108</v>
      </c>
      <c r="D32" s="52" t="s">
        <v>55</v>
      </c>
      <c r="E32" s="60" t="s">
        <v>56</v>
      </c>
      <c r="F32" s="65">
        <v>45684</v>
      </c>
      <c r="G32" s="65">
        <v>45594</v>
      </c>
      <c r="H32" s="65">
        <v>45657</v>
      </c>
      <c r="I32" s="66">
        <f t="shared" si="0"/>
        <v>90</v>
      </c>
      <c r="J32" s="60">
        <f t="shared" si="1"/>
        <v>27</v>
      </c>
      <c r="K32" s="67">
        <f t="shared" si="2"/>
        <v>7.3972602739726029E-2</v>
      </c>
      <c r="L32" s="54">
        <v>0.14499999999999999</v>
      </c>
      <c r="M32" s="68">
        <v>21476.28</v>
      </c>
      <c r="N32" s="68">
        <v>22021.24</v>
      </c>
      <c r="O32" s="68">
        <f t="shared" si="8"/>
        <v>22244.130558904108</v>
      </c>
      <c r="P32" s="69">
        <f t="shared" si="3"/>
        <v>0.16239999999999999</v>
      </c>
      <c r="Q32" s="61">
        <f t="shared" si="4"/>
        <v>21997.884199236338</v>
      </c>
      <c r="R32" s="61">
        <f t="shared" si="9"/>
        <v>-23.355800763663865</v>
      </c>
      <c r="S32" s="61">
        <f t="shared" si="5"/>
        <v>-602.5446260013822</v>
      </c>
      <c r="T32" s="69" cm="1">
        <f t="array" ref="T32">nelson(K32,NSS!$G$3,NSS!$G$4,NSS!$G$5,NSS!$G$6,NSS!$G$7,NSS!$G$8)</f>
        <v>4.2113704864783705E-2</v>
      </c>
      <c r="U32" s="69">
        <f t="shared" si="6"/>
        <v>0.16231370486478369</v>
      </c>
      <c r="V32" s="68">
        <f t="shared" si="10"/>
        <v>22175.049506199495</v>
      </c>
      <c r="W32" s="68">
        <f t="shared" si="14"/>
        <v>21980.219183955694</v>
      </c>
      <c r="X32" s="68">
        <f t="shared" si="11"/>
        <v>153.80950619949363</v>
      </c>
      <c r="Y32" s="68">
        <f t="shared" si="12"/>
        <v>-194.83032224380077</v>
      </c>
      <c r="Z32" s="61">
        <f t="shared" si="13"/>
        <v>-41.020816044307139</v>
      </c>
      <c r="AA32" s="90">
        <f t="shared" si="7"/>
        <v>-1058.2755227190578</v>
      </c>
      <c r="AB32" s="61"/>
    </row>
    <row r="33" spans="2:28" x14ac:dyDescent="0.3">
      <c r="B33" s="89" t="s">
        <v>155</v>
      </c>
      <c r="C33" s="60" t="s">
        <v>156</v>
      </c>
      <c r="D33" s="52" t="s">
        <v>172</v>
      </c>
      <c r="E33" s="60" t="s">
        <v>154</v>
      </c>
      <c r="F33" s="65">
        <v>45687</v>
      </c>
      <c r="G33" s="65">
        <v>45657</v>
      </c>
      <c r="H33" s="65">
        <v>45657</v>
      </c>
      <c r="I33" s="66">
        <f t="shared" si="0"/>
        <v>30</v>
      </c>
      <c r="J33" s="60">
        <f t="shared" si="1"/>
        <v>30</v>
      </c>
      <c r="K33" s="67">
        <f t="shared" si="2"/>
        <v>8.2191780821917804E-2</v>
      </c>
      <c r="L33" s="54">
        <v>0.05</v>
      </c>
      <c r="M33" s="68">
        <v>112000</v>
      </c>
      <c r="N33" s="68">
        <v>112000</v>
      </c>
      <c r="O33" s="68">
        <f t="shared" si="8"/>
        <v>112460.27397260274</v>
      </c>
      <c r="P33" s="69">
        <f t="shared" si="3"/>
        <v>0.16239999999999999</v>
      </c>
      <c r="Q33" s="61">
        <f t="shared" si="4"/>
        <v>111077.84460056256</v>
      </c>
      <c r="R33" s="61">
        <f t="shared" si="9"/>
        <v>-922.15539943744079</v>
      </c>
      <c r="S33" s="61">
        <f t="shared" si="5"/>
        <v>-23790.226072386817</v>
      </c>
      <c r="T33" s="69" cm="1">
        <f t="array" ref="T33">nelson(K33,NSS!$G$3,NSS!$G$4,NSS!$G$5,NSS!$G$6,NSS!$G$7,NSS!$G$8)</f>
        <v>4.2131021257508415E-2</v>
      </c>
      <c r="U33" s="69">
        <f t="shared" si="6"/>
        <v>0.16233102125750842</v>
      </c>
      <c r="V33" s="68">
        <f t="shared" si="10"/>
        <v>112072.1877486782</v>
      </c>
      <c r="W33" s="68">
        <f t="shared" si="14"/>
        <v>110979.55416171717</v>
      </c>
      <c r="X33" s="68">
        <f t="shared" si="11"/>
        <v>72.187748678203207</v>
      </c>
      <c r="Y33" s="68">
        <f t="shared" si="12"/>
        <v>-1092.6335869610339</v>
      </c>
      <c r="Z33" s="61">
        <f t="shared" si="13"/>
        <v>-1020.4458382828307</v>
      </c>
      <c r="AA33" s="90">
        <f t="shared" si="7"/>
        <v>-26325.971958939608</v>
      </c>
      <c r="AB33" s="61"/>
    </row>
    <row r="34" spans="2:28" x14ac:dyDescent="0.3">
      <c r="B34" s="89" t="s">
        <v>27</v>
      </c>
      <c r="C34" s="60" t="s">
        <v>28</v>
      </c>
      <c r="D34" s="52" t="s">
        <v>85</v>
      </c>
      <c r="E34" s="60" t="s">
        <v>56</v>
      </c>
      <c r="F34" s="65">
        <v>45691</v>
      </c>
      <c r="G34" s="65">
        <v>45601</v>
      </c>
      <c r="H34" s="65">
        <v>45657</v>
      </c>
      <c r="I34" s="66">
        <f t="shared" si="0"/>
        <v>90</v>
      </c>
      <c r="J34" s="60">
        <f t="shared" si="1"/>
        <v>34</v>
      </c>
      <c r="K34" s="67">
        <f t="shared" si="2"/>
        <v>9.3150684931506855E-2</v>
      </c>
      <c r="L34" s="54">
        <v>0.08</v>
      </c>
      <c r="M34" s="68">
        <v>100000</v>
      </c>
      <c r="N34" s="68">
        <v>101244.44</v>
      </c>
      <c r="O34" s="68">
        <f t="shared" si="8"/>
        <v>101972.60273972603</v>
      </c>
      <c r="P34" s="69">
        <f t="shared" ref="P34:P51" si="15">+$C$99+$C$102</f>
        <v>0.16220000000000001</v>
      </c>
      <c r="Q34" s="61">
        <f t="shared" si="4"/>
        <v>100554.73978576636</v>
      </c>
      <c r="R34" s="61">
        <f t="shared" si="9"/>
        <v>-689.70021423364233</v>
      </c>
      <c r="S34" s="61">
        <f t="shared" si="5"/>
        <v>-17793.230976906623</v>
      </c>
      <c r="T34" s="69" cm="1">
        <f t="array" ref="T34">nelson(K34,NSS!$G$3,NSS!$G$4,NSS!$G$5,NSS!$G$6,NSS!$G$7,NSS!$G$8)</f>
        <v>4.2151085946739629E-2</v>
      </c>
      <c r="U34" s="69">
        <f t="shared" si="6"/>
        <v>0.16235108594673964</v>
      </c>
      <c r="V34" s="68">
        <f t="shared" si="10"/>
        <v>101573.78318081409</v>
      </c>
      <c r="W34" s="68">
        <f t="shared" si="14"/>
        <v>100453.43392092924</v>
      </c>
      <c r="X34" s="68">
        <f t="shared" si="11"/>
        <v>329.34318081408856</v>
      </c>
      <c r="Y34" s="68">
        <f t="shared" si="12"/>
        <v>-1120.3492598848534</v>
      </c>
      <c r="Z34" s="61">
        <f t="shared" si="13"/>
        <v>-791.00607907076483</v>
      </c>
      <c r="AA34" s="90">
        <f t="shared" si="7"/>
        <v>-20406.770330907126</v>
      </c>
      <c r="AB34" s="61"/>
    </row>
    <row r="35" spans="2:28" x14ac:dyDescent="0.3">
      <c r="B35" s="89" t="s">
        <v>107</v>
      </c>
      <c r="C35" s="60" t="s">
        <v>108</v>
      </c>
      <c r="D35" s="52" t="s">
        <v>85</v>
      </c>
      <c r="E35" s="60" t="s">
        <v>56</v>
      </c>
      <c r="F35" s="65">
        <v>45691</v>
      </c>
      <c r="G35" s="65">
        <v>45601</v>
      </c>
      <c r="H35" s="65">
        <v>45657</v>
      </c>
      <c r="I35" s="66">
        <f t="shared" si="0"/>
        <v>90</v>
      </c>
      <c r="J35" s="60">
        <f t="shared" si="1"/>
        <v>34</v>
      </c>
      <c r="K35" s="67">
        <f t="shared" si="2"/>
        <v>9.3150684931506855E-2</v>
      </c>
      <c r="L35" s="54">
        <v>0.08</v>
      </c>
      <c r="M35" s="68">
        <v>200000</v>
      </c>
      <c r="N35" s="68">
        <v>202488.89</v>
      </c>
      <c r="O35" s="68">
        <f t="shared" si="8"/>
        <v>203945.20547945207</v>
      </c>
      <c r="P35" s="69">
        <f t="shared" si="15"/>
        <v>0.16220000000000001</v>
      </c>
      <c r="Q35" s="61">
        <f t="shared" si="4"/>
        <v>201109.47957153272</v>
      </c>
      <c r="R35" s="61">
        <f t="shared" si="9"/>
        <v>-1379.410428467294</v>
      </c>
      <c r="S35" s="61">
        <f t="shared" si="5"/>
        <v>-35586.719938813483</v>
      </c>
      <c r="T35" s="69" cm="1">
        <f t="array" ref="T35">nelson(K35,NSS!$G$3,NSS!$G$4,NSS!$G$5,NSS!$G$6,NSS!$G$7,NSS!$G$8)</f>
        <v>4.2151085946739629E-2</v>
      </c>
      <c r="U35" s="69">
        <f t="shared" si="6"/>
        <v>0.16235108594673964</v>
      </c>
      <c r="V35" s="68">
        <f t="shared" si="10"/>
        <v>203147.56636162818</v>
      </c>
      <c r="W35" s="68">
        <f t="shared" si="14"/>
        <v>200906.86784185848</v>
      </c>
      <c r="X35" s="68">
        <f t="shared" si="11"/>
        <v>658.6763616281678</v>
      </c>
      <c r="Y35" s="68">
        <f t="shared" si="12"/>
        <v>-2240.6985197697068</v>
      </c>
      <c r="Z35" s="61">
        <f t="shared" si="13"/>
        <v>-1582.022158141539</v>
      </c>
      <c r="AA35" s="90">
        <f t="shared" si="7"/>
        <v>-40813.798646814495</v>
      </c>
      <c r="AB35" s="61"/>
    </row>
    <row r="36" spans="2:28" x14ac:dyDescent="0.3">
      <c r="B36" s="89" t="s">
        <v>38</v>
      </c>
      <c r="C36" s="60" t="s">
        <v>39</v>
      </c>
      <c r="D36" s="52" t="s">
        <v>41</v>
      </c>
      <c r="E36" s="60" t="s">
        <v>42</v>
      </c>
      <c r="F36" s="65">
        <v>45700</v>
      </c>
      <c r="G36" s="65">
        <v>45610</v>
      </c>
      <c r="H36" s="65">
        <v>45657</v>
      </c>
      <c r="I36" s="66">
        <f t="shared" si="0"/>
        <v>90</v>
      </c>
      <c r="J36" s="60">
        <f t="shared" si="1"/>
        <v>43</v>
      </c>
      <c r="K36" s="67">
        <f t="shared" si="2"/>
        <v>0.11780821917808219</v>
      </c>
      <c r="L36" s="54">
        <v>0.1</v>
      </c>
      <c r="M36" s="68">
        <v>8414.11</v>
      </c>
      <c r="N36" s="68">
        <v>8523.9599999999991</v>
      </c>
      <c r="O36" s="68">
        <f t="shared" si="8"/>
        <v>8621.5812054794533</v>
      </c>
      <c r="P36" s="69">
        <f t="shared" si="15"/>
        <v>0.16220000000000001</v>
      </c>
      <c r="Q36" s="61">
        <f t="shared" si="4"/>
        <v>8470.2513885073804</v>
      </c>
      <c r="R36" s="61">
        <f t="shared" si="9"/>
        <v>-53.708611492618729</v>
      </c>
      <c r="S36" s="61">
        <f t="shared" si="5"/>
        <v>-1385.6016135923244</v>
      </c>
      <c r="T36" s="69" cm="1">
        <f t="array" ref="T36">nelson(K36,NSS!$G$3,NSS!$G$4,NSS!$G$5,NSS!$G$6,NSS!$G$7,NSS!$G$8)</f>
        <v>4.2184084100514926E-2</v>
      </c>
      <c r="U36" s="69">
        <f t="shared" si="6"/>
        <v>0.16238408410051491</v>
      </c>
      <c r="V36" s="68">
        <f t="shared" si="10"/>
        <v>8578.9469974512976</v>
      </c>
      <c r="W36" s="68">
        <f t="shared" si="14"/>
        <v>8459.7447672670114</v>
      </c>
      <c r="X36" s="68">
        <f t="shared" si="11"/>
        <v>54.986997451298521</v>
      </c>
      <c r="Y36" s="68">
        <f t="shared" si="12"/>
        <v>-119.20223018428624</v>
      </c>
      <c r="Z36" s="61">
        <f t="shared" si="13"/>
        <v>-64.215232732987715</v>
      </c>
      <c r="AA36" s="90">
        <f t="shared" si="7"/>
        <v>-1656.6566816619836</v>
      </c>
      <c r="AB36" s="61"/>
    </row>
    <row r="37" spans="2:28" x14ac:dyDescent="0.3">
      <c r="B37" s="89" t="s">
        <v>48</v>
      </c>
      <c r="C37" s="60" t="s">
        <v>49</v>
      </c>
      <c r="D37" s="52" t="s">
        <v>41</v>
      </c>
      <c r="E37" s="60" t="s">
        <v>42</v>
      </c>
      <c r="F37" s="65">
        <v>45700</v>
      </c>
      <c r="G37" s="65">
        <v>45610</v>
      </c>
      <c r="H37" s="65">
        <v>45657</v>
      </c>
      <c r="I37" s="66">
        <f t="shared" si="0"/>
        <v>90</v>
      </c>
      <c r="J37" s="60">
        <f t="shared" si="1"/>
        <v>43</v>
      </c>
      <c r="K37" s="67">
        <f t="shared" si="2"/>
        <v>0.11780821917808219</v>
      </c>
      <c r="L37" s="54">
        <v>0.1</v>
      </c>
      <c r="M37" s="68">
        <v>5258.82</v>
      </c>
      <c r="N37" s="68">
        <v>5327.48</v>
      </c>
      <c r="O37" s="68">
        <f t="shared" si="8"/>
        <v>5388.4895342465752</v>
      </c>
      <c r="P37" s="69">
        <f t="shared" si="15"/>
        <v>0.16220000000000001</v>
      </c>
      <c r="Q37" s="61">
        <f t="shared" si="4"/>
        <v>5293.9083761574748</v>
      </c>
      <c r="R37" s="61">
        <f t="shared" si="9"/>
        <v>-33.571623842524787</v>
      </c>
      <c r="S37" s="61">
        <f t="shared" si="5"/>
        <v>-866.0975377013757</v>
      </c>
      <c r="T37" s="69" cm="1">
        <f t="array" ref="T37">nelson(K37,NSS!$G$3,NSS!$G$4,NSS!$G$5,NSS!$G$6,NSS!$G$7,NSS!$G$8)</f>
        <v>4.2184084100514926E-2</v>
      </c>
      <c r="U37" s="69">
        <f t="shared" si="6"/>
        <v>0.16238408410051491</v>
      </c>
      <c r="V37" s="68">
        <f t="shared" si="10"/>
        <v>5361.8431478952407</v>
      </c>
      <c r="W37" s="68">
        <f t="shared" si="14"/>
        <v>5287.3417363213812</v>
      </c>
      <c r="X37" s="68">
        <f t="shared" si="11"/>
        <v>34.363147895241127</v>
      </c>
      <c r="Y37" s="68">
        <f t="shared" si="12"/>
        <v>-74.501411573859514</v>
      </c>
      <c r="Z37" s="61">
        <f t="shared" si="13"/>
        <v>-40.138263678618387</v>
      </c>
      <c r="AA37" s="90">
        <f t="shared" si="7"/>
        <v>-1035.5069955128365</v>
      </c>
      <c r="AB37" s="61"/>
    </row>
    <row r="38" spans="2:28" x14ac:dyDescent="0.3">
      <c r="B38" s="89" t="s">
        <v>74</v>
      </c>
      <c r="C38" s="60" t="s">
        <v>75</v>
      </c>
      <c r="D38" s="52" t="s">
        <v>41</v>
      </c>
      <c r="E38" s="60" t="s">
        <v>42</v>
      </c>
      <c r="F38" s="65">
        <v>45700</v>
      </c>
      <c r="G38" s="65">
        <v>45610</v>
      </c>
      <c r="H38" s="65">
        <v>45657</v>
      </c>
      <c r="I38" s="66">
        <f t="shared" si="0"/>
        <v>90</v>
      </c>
      <c r="J38" s="60">
        <f t="shared" si="1"/>
        <v>43</v>
      </c>
      <c r="K38" s="67">
        <f t="shared" si="2"/>
        <v>0.11780821917808219</v>
      </c>
      <c r="L38" s="54">
        <v>0.1</v>
      </c>
      <c r="M38" s="68">
        <v>9465.8799999999992</v>
      </c>
      <c r="N38" s="68">
        <v>9589.4599999999991</v>
      </c>
      <c r="O38" s="68">
        <f t="shared" si="8"/>
        <v>9699.2852602739713</v>
      </c>
      <c r="P38" s="69">
        <f t="shared" si="15"/>
        <v>0.16220000000000001</v>
      </c>
      <c r="Q38" s="61">
        <f t="shared" si="4"/>
        <v>9529.0391037726167</v>
      </c>
      <c r="R38" s="61">
        <f t="shared" si="9"/>
        <v>-60.4208962273824</v>
      </c>
      <c r="S38" s="61">
        <f t="shared" si="5"/>
        <v>-1558.7684913221249</v>
      </c>
      <c r="T38" s="69" cm="1">
        <f t="array" ref="T38">nelson(K38,NSS!$G$3,NSS!$G$4,NSS!$G$5,NSS!$G$6,NSS!$G$7,NSS!$G$8)</f>
        <v>4.2184084100514926E-2</v>
      </c>
      <c r="U38" s="69">
        <f t="shared" si="6"/>
        <v>0.16238408410051491</v>
      </c>
      <c r="V38" s="68">
        <f t="shared" si="10"/>
        <v>9651.3217445736118</v>
      </c>
      <c r="W38" s="68">
        <f t="shared" si="14"/>
        <v>9517.2191470728867</v>
      </c>
      <c r="X38" s="68">
        <f t="shared" si="11"/>
        <v>61.861744573612668</v>
      </c>
      <c r="Y38" s="68">
        <f t="shared" si="12"/>
        <v>-134.1025975007251</v>
      </c>
      <c r="Z38" s="61">
        <f t="shared" si="13"/>
        <v>-72.240852927112428</v>
      </c>
      <c r="AA38" s="90">
        <f t="shared" si="7"/>
        <v>-1863.7056442401101</v>
      </c>
      <c r="AB38" s="61"/>
    </row>
    <row r="39" spans="2:28" x14ac:dyDescent="0.3">
      <c r="B39" s="89" t="s">
        <v>76</v>
      </c>
      <c r="C39" s="60" t="s">
        <v>77</v>
      </c>
      <c r="D39" s="52" t="s">
        <v>41</v>
      </c>
      <c r="E39" s="60" t="s">
        <v>42</v>
      </c>
      <c r="F39" s="65">
        <v>45700</v>
      </c>
      <c r="G39" s="65">
        <v>45610</v>
      </c>
      <c r="H39" s="65">
        <v>45657</v>
      </c>
      <c r="I39" s="66">
        <f t="shared" si="0"/>
        <v>90</v>
      </c>
      <c r="J39" s="60">
        <f t="shared" si="1"/>
        <v>43</v>
      </c>
      <c r="K39" s="67">
        <f t="shared" si="2"/>
        <v>0.11780821917808219</v>
      </c>
      <c r="L39" s="54">
        <v>0.1</v>
      </c>
      <c r="M39" s="68">
        <v>91750.75</v>
      </c>
      <c r="N39" s="68">
        <v>92948.61</v>
      </c>
      <c r="O39" s="68">
        <f t="shared" si="8"/>
        <v>94013.097260273978</v>
      </c>
      <c r="P39" s="69">
        <f t="shared" si="15"/>
        <v>0.16220000000000001</v>
      </c>
      <c r="Q39" s="61">
        <f t="shared" si="4"/>
        <v>92362.937682546748</v>
      </c>
      <c r="R39" s="61">
        <f t="shared" si="9"/>
        <v>-585.67231745325262</v>
      </c>
      <c r="S39" s="61">
        <f t="shared" si="5"/>
        <v>-15109.467281817739</v>
      </c>
      <c r="T39" s="69" cm="1">
        <f t="array" ref="T39">nelson(K39,NSS!$G$3,NSS!$G$4,NSS!$G$5,NSS!$G$6,NSS!$G$7,NSS!$G$8)</f>
        <v>4.2184084100514926E-2</v>
      </c>
      <c r="U39" s="69">
        <f t="shared" si="6"/>
        <v>0.16238408410051491</v>
      </c>
      <c r="V39" s="68">
        <f t="shared" si="10"/>
        <v>93548.197162433644</v>
      </c>
      <c r="W39" s="68">
        <f t="shared" si="14"/>
        <v>92248.369370655215</v>
      </c>
      <c r="X39" s="68">
        <f t="shared" si="11"/>
        <v>599.58716243364324</v>
      </c>
      <c r="Y39" s="68">
        <f t="shared" si="12"/>
        <v>-1299.8277917784289</v>
      </c>
      <c r="Z39" s="61">
        <f t="shared" si="13"/>
        <v>-700.2406293447857</v>
      </c>
      <c r="AA39" s="90">
        <f t="shared" si="7"/>
        <v>-18065.157876151454</v>
      </c>
      <c r="AB39" s="61"/>
    </row>
    <row r="40" spans="2:28" x14ac:dyDescent="0.3">
      <c r="B40" s="89" t="s">
        <v>142</v>
      </c>
      <c r="C40" s="60" t="s">
        <v>143</v>
      </c>
      <c r="D40" s="52" t="s">
        <v>41</v>
      </c>
      <c r="E40" s="60" t="s">
        <v>42</v>
      </c>
      <c r="F40" s="65">
        <v>45700</v>
      </c>
      <c r="G40" s="65">
        <v>45610</v>
      </c>
      <c r="H40" s="65">
        <v>45657</v>
      </c>
      <c r="I40" s="66">
        <f t="shared" si="0"/>
        <v>90</v>
      </c>
      <c r="J40" s="60">
        <f t="shared" si="1"/>
        <v>43</v>
      </c>
      <c r="K40" s="67">
        <f t="shared" si="2"/>
        <v>0.11780821917808219</v>
      </c>
      <c r="L40" s="54">
        <v>0.1</v>
      </c>
      <c r="M40" s="68">
        <v>7362.35</v>
      </c>
      <c r="N40" s="68">
        <v>7458.47</v>
      </c>
      <c r="O40" s="68">
        <f t="shared" si="8"/>
        <v>7543.8873972602742</v>
      </c>
      <c r="P40" s="69">
        <f t="shared" si="15"/>
        <v>0.16220000000000001</v>
      </c>
      <c r="Q40" s="61">
        <f t="shared" si="4"/>
        <v>7411.4737399650467</v>
      </c>
      <c r="R40" s="61">
        <f t="shared" si="9"/>
        <v>-46.996260034953593</v>
      </c>
      <c r="S40" s="61">
        <f t="shared" si="5"/>
        <v>-1212.4330145117503</v>
      </c>
      <c r="T40" s="69" cm="1">
        <f t="array" ref="T40">nelson(K40,NSS!$G$3,NSS!$G$4,NSS!$G$5,NSS!$G$6,NSS!$G$7,NSS!$G$8)</f>
        <v>4.2184084100514926E-2</v>
      </c>
      <c r="U40" s="69">
        <f t="shared" si="6"/>
        <v>0.16238408410051491</v>
      </c>
      <c r="V40" s="68">
        <f t="shared" si="10"/>
        <v>7506.5824462344272</v>
      </c>
      <c r="W40" s="68">
        <f t="shared" si="14"/>
        <v>7402.2804416971348</v>
      </c>
      <c r="X40" s="68">
        <f t="shared" si="11"/>
        <v>48.112446234426898</v>
      </c>
      <c r="Y40" s="68">
        <f t="shared" si="12"/>
        <v>-104.30200453729231</v>
      </c>
      <c r="Z40" s="61">
        <f t="shared" si="13"/>
        <v>-56.189558302865407</v>
      </c>
      <c r="AA40" s="90">
        <f t="shared" si="7"/>
        <v>-1449.6063198764732</v>
      </c>
      <c r="AB40" s="61"/>
    </row>
    <row r="41" spans="2:28" x14ac:dyDescent="0.3">
      <c r="B41" s="89" t="s">
        <v>144</v>
      </c>
      <c r="C41" s="60" t="s">
        <v>145</v>
      </c>
      <c r="D41" s="52" t="s">
        <v>41</v>
      </c>
      <c r="E41" s="60" t="s">
        <v>42</v>
      </c>
      <c r="F41" s="65">
        <v>45700</v>
      </c>
      <c r="G41" s="65">
        <v>45610</v>
      </c>
      <c r="H41" s="65">
        <v>45657</v>
      </c>
      <c r="I41" s="66">
        <f t="shared" si="0"/>
        <v>90</v>
      </c>
      <c r="J41" s="60">
        <f t="shared" si="1"/>
        <v>43</v>
      </c>
      <c r="K41" s="67">
        <f t="shared" si="2"/>
        <v>0.11780821917808219</v>
      </c>
      <c r="L41" s="54">
        <v>0.1</v>
      </c>
      <c r="M41" s="68">
        <v>16828.22</v>
      </c>
      <c r="N41" s="68">
        <v>17047.919999999998</v>
      </c>
      <c r="O41" s="68">
        <f t="shared" si="8"/>
        <v>17243.162410958907</v>
      </c>
      <c r="P41" s="69">
        <f t="shared" si="15"/>
        <v>0.16220000000000001</v>
      </c>
      <c r="Q41" s="61">
        <f t="shared" si="4"/>
        <v>16940.502777014761</v>
      </c>
      <c r="R41" s="61">
        <f t="shared" si="9"/>
        <v>-107.41722298523746</v>
      </c>
      <c r="S41" s="61">
        <f t="shared" si="5"/>
        <v>-2771.2032271846488</v>
      </c>
      <c r="T41" s="69" cm="1">
        <f t="array" ref="T41">nelson(K41,NSS!$G$3,NSS!$G$4,NSS!$G$5,NSS!$G$6,NSS!$G$7,NSS!$G$8)</f>
        <v>4.2184084100514926E-2</v>
      </c>
      <c r="U41" s="69">
        <f t="shared" si="6"/>
        <v>0.16238408410051491</v>
      </c>
      <c r="V41" s="68">
        <f t="shared" si="10"/>
        <v>17157.893994902595</v>
      </c>
      <c r="W41" s="68">
        <f t="shared" si="14"/>
        <v>16919.489534534023</v>
      </c>
      <c r="X41" s="68">
        <f t="shared" si="11"/>
        <v>109.97399490259704</v>
      </c>
      <c r="Y41" s="68">
        <f t="shared" si="12"/>
        <v>-238.40446036857247</v>
      </c>
      <c r="Z41" s="61">
        <f t="shared" si="13"/>
        <v>-128.43046546597543</v>
      </c>
      <c r="AA41" s="90">
        <f t="shared" si="7"/>
        <v>-3313.3133633239672</v>
      </c>
      <c r="AB41" s="61"/>
    </row>
    <row r="42" spans="2:28" x14ac:dyDescent="0.3">
      <c r="B42" s="89" t="s">
        <v>76</v>
      </c>
      <c r="C42" s="60" t="s">
        <v>77</v>
      </c>
      <c r="D42" s="52" t="s">
        <v>79</v>
      </c>
      <c r="E42" s="60" t="s">
        <v>80</v>
      </c>
      <c r="F42" s="65">
        <v>45712</v>
      </c>
      <c r="G42" s="65">
        <v>45621</v>
      </c>
      <c r="H42" s="65">
        <v>45657</v>
      </c>
      <c r="I42" s="66">
        <f t="shared" si="0"/>
        <v>91</v>
      </c>
      <c r="J42" s="60">
        <f t="shared" si="1"/>
        <v>55</v>
      </c>
      <c r="K42" s="67">
        <f t="shared" si="2"/>
        <v>0.15068493150684931</v>
      </c>
      <c r="L42" s="54">
        <v>0.12</v>
      </c>
      <c r="M42" s="68">
        <v>58000</v>
      </c>
      <c r="N42" s="68">
        <v>58696</v>
      </c>
      <c r="O42" s="68">
        <f t="shared" si="8"/>
        <v>59735.232876712325</v>
      </c>
      <c r="P42" s="69">
        <f t="shared" si="15"/>
        <v>0.16220000000000001</v>
      </c>
      <c r="Q42" s="61">
        <f t="shared" si="4"/>
        <v>58397.427683233938</v>
      </c>
      <c r="R42" s="61">
        <f t="shared" si="9"/>
        <v>-298.5723167660617</v>
      </c>
      <c r="S42" s="61">
        <f t="shared" si="5"/>
        <v>-7702.7179140892431</v>
      </c>
      <c r="T42" s="69" cm="1">
        <f t="array" ref="T42">nelson(K42,NSS!$G$3,NSS!$G$4,NSS!$G$5,NSS!$G$6,NSS!$G$7,NSS!$G$8)</f>
        <v>4.2203530264949593E-2</v>
      </c>
      <c r="U42" s="69">
        <f t="shared" si="6"/>
        <v>0.16240353026494958</v>
      </c>
      <c r="V42" s="68">
        <f t="shared" si="10"/>
        <v>59357.751053785811</v>
      </c>
      <c r="W42" s="68">
        <f t="shared" si="14"/>
        <v>58308.325253225106</v>
      </c>
      <c r="X42" s="68">
        <f t="shared" si="11"/>
        <v>661.75105378581065</v>
      </c>
      <c r="Y42" s="68">
        <f t="shared" si="12"/>
        <v>-1049.4258005607044</v>
      </c>
      <c r="Z42" s="61">
        <f t="shared" si="13"/>
        <v>-387.67474677489372</v>
      </c>
      <c r="AA42" s="90">
        <f t="shared" si="7"/>
        <v>-10001.426954672095</v>
      </c>
      <c r="AB42" s="61"/>
    </row>
    <row r="43" spans="2:28" x14ac:dyDescent="0.3">
      <c r="B43" s="89" t="s">
        <v>95</v>
      </c>
      <c r="C43" s="60" t="s">
        <v>96</v>
      </c>
      <c r="D43" s="52" t="s">
        <v>98</v>
      </c>
      <c r="E43" s="60" t="s">
        <v>80</v>
      </c>
      <c r="F43" s="65">
        <v>45712</v>
      </c>
      <c r="G43" s="65">
        <v>45530</v>
      </c>
      <c r="H43" s="65">
        <v>45657</v>
      </c>
      <c r="I43" s="66">
        <f t="shared" ref="I43:I74" si="16">F43-G43</f>
        <v>182</v>
      </c>
      <c r="J43" s="60">
        <f t="shared" ref="J43:J74" si="17">F43-$H$11</f>
        <v>55</v>
      </c>
      <c r="K43" s="67">
        <f t="shared" ref="K43:K74" si="18">+J43/365</f>
        <v>0.15068493150684931</v>
      </c>
      <c r="L43" s="54">
        <v>0.11</v>
      </c>
      <c r="M43" s="68">
        <v>800000</v>
      </c>
      <c r="N43" s="68">
        <v>831044.44</v>
      </c>
      <c r="O43" s="68">
        <f t="shared" ref="O43:O74" si="19">+(M43*L43*I43/365)+M43</f>
        <v>843879.45205479453</v>
      </c>
      <c r="P43" s="69">
        <f t="shared" si="15"/>
        <v>0.16220000000000001</v>
      </c>
      <c r="Q43" s="61">
        <f t="shared" ref="Q43:Q74" si="20">+(1/(1+P43)^(K43))*O43</f>
        <v>824980.28218031465</v>
      </c>
      <c r="R43" s="61">
        <f t="shared" si="9"/>
        <v>-6064.1578196852934</v>
      </c>
      <c r="S43" s="61">
        <f t="shared" ref="S43:S74" si="21">+R43*$C$100</f>
        <v>-156446.17551115106</v>
      </c>
      <c r="T43" s="69" cm="1">
        <f t="array" ref="T43">nelson(K43,NSS!$G$3,NSS!$G$4,NSS!$G$5,NSS!$G$6,NSS!$G$7,NSS!$G$8)</f>
        <v>4.2203530264949593E-2</v>
      </c>
      <c r="U43" s="69">
        <f t="shared" ref="U43:U74" si="22">T43+$C$99</f>
        <v>0.16240353026494958</v>
      </c>
      <c r="V43" s="68">
        <f t="shared" si="10"/>
        <v>838546.76749743579</v>
      </c>
      <c r="W43" s="68">
        <f t="shared" ref="W43:W74" si="23">O43/((T43+$C$99)*K43+1)</f>
        <v>823721.53242424037</v>
      </c>
      <c r="X43" s="68">
        <f t="shared" si="11"/>
        <v>7502.3274974358501</v>
      </c>
      <c r="Y43" s="68">
        <f t="shared" si="12"/>
        <v>-14825.235073195421</v>
      </c>
      <c r="Z43" s="61">
        <f t="shared" ref="Z43:Z74" si="24">+W43-N43</f>
        <v>-7322.907575759571</v>
      </c>
      <c r="AA43" s="90">
        <f t="shared" ref="AA43:AA74" si="25">+Z43*$C$100</f>
        <v>-188920.03109323329</v>
      </c>
      <c r="AB43" s="61"/>
    </row>
    <row r="44" spans="2:28" x14ac:dyDescent="0.3">
      <c r="B44" s="89" t="s">
        <v>107</v>
      </c>
      <c r="C44" s="60" t="s">
        <v>108</v>
      </c>
      <c r="D44" s="52" t="s">
        <v>98</v>
      </c>
      <c r="E44" s="60" t="s">
        <v>80</v>
      </c>
      <c r="F44" s="65">
        <v>45712</v>
      </c>
      <c r="G44" s="65">
        <v>45530</v>
      </c>
      <c r="H44" s="65">
        <v>45657</v>
      </c>
      <c r="I44" s="66">
        <f t="shared" si="16"/>
        <v>182</v>
      </c>
      <c r="J44" s="60">
        <f t="shared" si="17"/>
        <v>55</v>
      </c>
      <c r="K44" s="67">
        <f t="shared" si="18"/>
        <v>0.15068493150684931</v>
      </c>
      <c r="L44" s="54">
        <v>0.11</v>
      </c>
      <c r="M44" s="68">
        <v>200000</v>
      </c>
      <c r="N44" s="68">
        <v>207761.11</v>
      </c>
      <c r="O44" s="68">
        <f t="shared" si="19"/>
        <v>210969.86301369863</v>
      </c>
      <c r="P44" s="69">
        <f t="shared" si="15"/>
        <v>0.16220000000000001</v>
      </c>
      <c r="Q44" s="61">
        <f t="shared" si="20"/>
        <v>206245.07054507866</v>
      </c>
      <c r="R44" s="61">
        <f t="shared" si="9"/>
        <v>-1516.0394549213233</v>
      </c>
      <c r="S44" s="61">
        <f t="shared" si="21"/>
        <v>-39111.543877787764</v>
      </c>
      <c r="T44" s="69" cm="1">
        <f t="array" ref="T44">nelson(K44,NSS!$G$3,NSS!$G$4,NSS!$G$5,NSS!$G$6,NSS!$G$7,NSS!$G$8)</f>
        <v>4.2203530264949593E-2</v>
      </c>
      <c r="U44" s="69">
        <f t="shared" si="22"/>
        <v>0.16240353026494958</v>
      </c>
      <c r="V44" s="68">
        <f t="shared" si="10"/>
        <v>209636.69187435895</v>
      </c>
      <c r="W44" s="68">
        <f t="shared" si="23"/>
        <v>205930.38310606009</v>
      </c>
      <c r="X44" s="68">
        <f t="shared" si="11"/>
        <v>1875.5818743589625</v>
      </c>
      <c r="Y44" s="68">
        <f t="shared" si="12"/>
        <v>-3706.3087682988553</v>
      </c>
      <c r="Z44" s="61">
        <f t="shared" si="24"/>
        <v>-1830.7268939398928</v>
      </c>
      <c r="AA44" s="90">
        <f t="shared" si="25"/>
        <v>-47230.007773308324</v>
      </c>
      <c r="AB44" s="61"/>
    </row>
    <row r="45" spans="2:28" x14ac:dyDescent="0.3">
      <c r="B45" s="89" t="s">
        <v>107</v>
      </c>
      <c r="C45" s="60" t="s">
        <v>108</v>
      </c>
      <c r="D45" s="52" t="s">
        <v>79</v>
      </c>
      <c r="E45" s="60" t="s">
        <v>80</v>
      </c>
      <c r="F45" s="65">
        <v>45712</v>
      </c>
      <c r="G45" s="65">
        <v>45621</v>
      </c>
      <c r="H45" s="65">
        <v>45657</v>
      </c>
      <c r="I45" s="66">
        <f t="shared" si="16"/>
        <v>91</v>
      </c>
      <c r="J45" s="60">
        <f t="shared" si="17"/>
        <v>55</v>
      </c>
      <c r="K45" s="67">
        <f t="shared" si="18"/>
        <v>0.15068493150684931</v>
      </c>
      <c r="L45" s="54">
        <v>0.12</v>
      </c>
      <c r="M45" s="68">
        <v>30500</v>
      </c>
      <c r="N45" s="68">
        <v>30866</v>
      </c>
      <c r="O45" s="68">
        <f t="shared" si="19"/>
        <v>31412.493150684932</v>
      </c>
      <c r="P45" s="69">
        <f t="shared" si="15"/>
        <v>0.16220000000000001</v>
      </c>
      <c r="Q45" s="61">
        <f t="shared" si="20"/>
        <v>30708.99214376957</v>
      </c>
      <c r="R45" s="61">
        <f t="shared" si="9"/>
        <v>-157.00785623042975</v>
      </c>
      <c r="S45" s="61">
        <f t="shared" si="21"/>
        <v>-4050.5671789607422</v>
      </c>
      <c r="T45" s="69" cm="1">
        <f t="array" ref="T45">nelson(K45,NSS!$G$3,NSS!$G$4,NSS!$G$5,NSS!$G$6,NSS!$G$7,NSS!$G$8)</f>
        <v>4.2203530264949593E-2</v>
      </c>
      <c r="U45" s="69">
        <f t="shared" si="22"/>
        <v>0.16240353026494958</v>
      </c>
      <c r="V45" s="68">
        <f t="shared" si="10"/>
        <v>31213.989778283918</v>
      </c>
      <c r="W45" s="68">
        <f t="shared" si="23"/>
        <v>30662.136555575275</v>
      </c>
      <c r="X45" s="68">
        <f t="shared" si="11"/>
        <v>347.98977828391799</v>
      </c>
      <c r="Y45" s="68">
        <f t="shared" si="12"/>
        <v>-551.85322270864344</v>
      </c>
      <c r="Z45" s="61">
        <f t="shared" si="24"/>
        <v>-203.86344442472546</v>
      </c>
      <c r="AA45" s="90">
        <f t="shared" si="25"/>
        <v>-5259.3710709912802</v>
      </c>
      <c r="AB45" s="61"/>
    </row>
    <row r="46" spans="2:28" x14ac:dyDescent="0.3">
      <c r="B46" s="89" t="s">
        <v>146</v>
      </c>
      <c r="C46" s="60" t="s">
        <v>147</v>
      </c>
      <c r="D46" s="52" t="s">
        <v>149</v>
      </c>
      <c r="E46" s="60" t="s">
        <v>59</v>
      </c>
      <c r="F46" s="65">
        <v>45712</v>
      </c>
      <c r="G46" s="65">
        <v>45622</v>
      </c>
      <c r="H46" s="65">
        <v>45657</v>
      </c>
      <c r="I46" s="66">
        <f t="shared" si="16"/>
        <v>90</v>
      </c>
      <c r="J46" s="60">
        <f t="shared" si="17"/>
        <v>55</v>
      </c>
      <c r="K46" s="67">
        <f t="shared" si="18"/>
        <v>0.15068493150684931</v>
      </c>
      <c r="L46" s="54">
        <v>0.09</v>
      </c>
      <c r="M46" s="68">
        <v>63190.5</v>
      </c>
      <c r="N46" s="68">
        <v>63743.42</v>
      </c>
      <c r="O46" s="68">
        <f t="shared" si="19"/>
        <v>64592.809726027393</v>
      </c>
      <c r="P46" s="69">
        <f t="shared" si="15"/>
        <v>0.16220000000000001</v>
      </c>
      <c r="Q46" s="61">
        <f t="shared" si="20"/>
        <v>63146.216281063549</v>
      </c>
      <c r="R46" s="61">
        <f t="shared" si="9"/>
        <v>-597.20371893644915</v>
      </c>
      <c r="S46" s="61">
        <f t="shared" si="21"/>
        <v>-15406.960142981983</v>
      </c>
      <c r="T46" s="69" cm="1">
        <f t="array" ref="T46">nelson(K46,NSS!$G$3,NSS!$G$4,NSS!$G$5,NSS!$G$6,NSS!$G$7,NSS!$G$8)</f>
        <v>4.2203530264949593E-2</v>
      </c>
      <c r="U46" s="69">
        <f t="shared" si="22"/>
        <v>0.16240353026494958</v>
      </c>
      <c r="V46" s="68">
        <f t="shared" si="10"/>
        <v>64184.631664452747</v>
      </c>
      <c r="W46" s="68">
        <f t="shared" si="23"/>
        <v>63049.868179105608</v>
      </c>
      <c r="X46" s="68">
        <f t="shared" si="11"/>
        <v>441.21166445274866</v>
      </c>
      <c r="Y46" s="68">
        <f t="shared" si="12"/>
        <v>-1134.7634853471391</v>
      </c>
      <c r="Z46" s="61">
        <f t="shared" si="24"/>
        <v>-693.5518208943904</v>
      </c>
      <c r="AA46" s="90">
        <f t="shared" si="25"/>
        <v>-17892.596651343931</v>
      </c>
      <c r="AB46" s="61"/>
    </row>
    <row r="47" spans="2:28" x14ac:dyDescent="0.3">
      <c r="B47" s="89" t="s">
        <v>27</v>
      </c>
      <c r="C47" s="60" t="s">
        <v>28</v>
      </c>
      <c r="D47" s="52" t="s">
        <v>94</v>
      </c>
      <c r="E47" s="60" t="s">
        <v>88</v>
      </c>
      <c r="F47" s="65">
        <v>45726</v>
      </c>
      <c r="G47" s="65">
        <v>45635</v>
      </c>
      <c r="H47" s="65">
        <v>45657</v>
      </c>
      <c r="I47" s="66">
        <f t="shared" si="16"/>
        <v>91</v>
      </c>
      <c r="J47" s="60">
        <f t="shared" si="17"/>
        <v>69</v>
      </c>
      <c r="K47" s="67">
        <f t="shared" si="18"/>
        <v>0.18904109589041096</v>
      </c>
      <c r="L47" s="54">
        <v>0.11</v>
      </c>
      <c r="M47" s="68">
        <v>580000</v>
      </c>
      <c r="N47" s="68">
        <v>583898.89</v>
      </c>
      <c r="O47" s="68">
        <f t="shared" si="19"/>
        <v>595906.30136986298</v>
      </c>
      <c r="P47" s="69">
        <f t="shared" si="15"/>
        <v>0.16220000000000001</v>
      </c>
      <c r="Q47" s="61">
        <f t="shared" si="20"/>
        <v>579211.5459368428</v>
      </c>
      <c r="R47" s="61">
        <f t="shared" si="9"/>
        <v>-4687.3440631572157</v>
      </c>
      <c r="S47" s="61">
        <f t="shared" si="21"/>
        <v>-120926.44581336144</v>
      </c>
      <c r="T47" s="69" cm="1">
        <f t="array" ref="T47">nelson(K47,NSS!$G$3,NSS!$G$4,NSS!$G$5,NSS!$G$6,NSS!$G$7,NSS!$G$8)</f>
        <v>4.2193932265840575E-2</v>
      </c>
      <c r="U47" s="69">
        <f t="shared" si="22"/>
        <v>0.16239393226584059</v>
      </c>
      <c r="V47" s="68">
        <f t="shared" si="10"/>
        <v>591190.73515985906</v>
      </c>
      <c r="W47" s="68">
        <f t="shared" si="23"/>
        <v>578157.3747420623</v>
      </c>
      <c r="X47" s="68">
        <f t="shared" si="11"/>
        <v>7291.8451598590473</v>
      </c>
      <c r="Y47" s="68">
        <f t="shared" si="12"/>
        <v>-13033.360417796765</v>
      </c>
      <c r="Z47" s="61">
        <f t="shared" si="24"/>
        <v>-5741.5152579377173</v>
      </c>
      <c r="AA47" s="90">
        <f t="shared" si="25"/>
        <v>-148122.4813819062</v>
      </c>
      <c r="AB47" s="61"/>
    </row>
    <row r="48" spans="2:28" x14ac:dyDescent="0.3">
      <c r="B48" s="89" t="s">
        <v>107</v>
      </c>
      <c r="C48" s="60" t="s">
        <v>108</v>
      </c>
      <c r="D48" s="52" t="s">
        <v>94</v>
      </c>
      <c r="E48" s="60" t="s">
        <v>88</v>
      </c>
      <c r="F48" s="65">
        <v>45726</v>
      </c>
      <c r="G48" s="65">
        <v>45635</v>
      </c>
      <c r="H48" s="65">
        <v>45657</v>
      </c>
      <c r="I48" s="66">
        <f t="shared" si="16"/>
        <v>91</v>
      </c>
      <c r="J48" s="60">
        <f t="shared" si="17"/>
        <v>69</v>
      </c>
      <c r="K48" s="67">
        <f t="shared" si="18"/>
        <v>0.18904109589041096</v>
      </c>
      <c r="L48" s="54">
        <v>0.11</v>
      </c>
      <c r="M48" s="68">
        <v>270000</v>
      </c>
      <c r="N48" s="68">
        <v>271815</v>
      </c>
      <c r="O48" s="68">
        <f t="shared" si="19"/>
        <v>277404.65753424657</v>
      </c>
      <c r="P48" s="69">
        <f t="shared" si="15"/>
        <v>0.16220000000000001</v>
      </c>
      <c r="Q48" s="61">
        <f t="shared" si="20"/>
        <v>269632.96103956475</v>
      </c>
      <c r="R48" s="61">
        <f t="shared" si="9"/>
        <v>-2182.0389604352531</v>
      </c>
      <c r="S48" s="61">
        <f t="shared" si="21"/>
        <v>-56293.33212078888</v>
      </c>
      <c r="T48" s="69" cm="1">
        <f t="array" ref="T48">nelson(K48,NSS!$G$3,NSS!$G$4,NSS!$G$5,NSS!$G$6,NSS!$G$7,NSS!$G$8)</f>
        <v>4.2193932265840575E-2</v>
      </c>
      <c r="U48" s="69">
        <f t="shared" si="22"/>
        <v>0.16239393226584059</v>
      </c>
      <c r="V48" s="68">
        <f t="shared" si="10"/>
        <v>275209.48016062408</v>
      </c>
      <c r="W48" s="68">
        <f t="shared" si="23"/>
        <v>269142.22617302905</v>
      </c>
      <c r="X48" s="68">
        <f t="shared" si="11"/>
        <v>3394.4801606240799</v>
      </c>
      <c r="Y48" s="68">
        <f t="shared" si="12"/>
        <v>-6067.2539875950315</v>
      </c>
      <c r="Z48" s="61">
        <f t="shared" si="24"/>
        <v>-2672.7738269709516</v>
      </c>
      <c r="AA48" s="90">
        <f t="shared" si="25"/>
        <v>-68953.555575110091</v>
      </c>
      <c r="AB48" s="61"/>
    </row>
    <row r="49" spans="2:28" x14ac:dyDescent="0.3">
      <c r="B49" s="89" t="s">
        <v>65</v>
      </c>
      <c r="C49" s="60" t="s">
        <v>66</v>
      </c>
      <c r="D49" s="52" t="s">
        <v>68</v>
      </c>
      <c r="E49" s="60" t="s">
        <v>69</v>
      </c>
      <c r="F49" s="65">
        <v>45733</v>
      </c>
      <c r="G49" s="65">
        <v>45642</v>
      </c>
      <c r="H49" s="65">
        <v>45657</v>
      </c>
      <c r="I49" s="66">
        <f t="shared" si="16"/>
        <v>91</v>
      </c>
      <c r="J49" s="60">
        <f t="shared" si="17"/>
        <v>76</v>
      </c>
      <c r="K49" s="67">
        <f t="shared" si="18"/>
        <v>0.20821917808219179</v>
      </c>
      <c r="L49" s="54">
        <v>0.1</v>
      </c>
      <c r="M49" s="68">
        <v>12922.69</v>
      </c>
      <c r="N49" s="68">
        <v>12976.53</v>
      </c>
      <c r="O49" s="68">
        <f t="shared" si="19"/>
        <v>13244.872134246576</v>
      </c>
      <c r="P49" s="69">
        <f t="shared" si="15"/>
        <v>0.16220000000000001</v>
      </c>
      <c r="Q49" s="61">
        <f t="shared" si="20"/>
        <v>12836.748740881281</v>
      </c>
      <c r="R49" s="61">
        <f t="shared" si="9"/>
        <v>-139.78125911871939</v>
      </c>
      <c r="S49" s="61">
        <f t="shared" si="21"/>
        <v>-3606.1468133742824</v>
      </c>
      <c r="T49" s="69" cm="1">
        <f t="array" ref="T49">nelson(K49,NSS!$G$3,NSS!$G$4,NSS!$G$5,NSS!$G$6,NSS!$G$7,NSS!$G$8)</f>
        <v>4.2177271881924536E-2</v>
      </c>
      <c r="U49" s="69">
        <f t="shared" si="22"/>
        <v>0.16237727188192452</v>
      </c>
      <c r="V49" s="68">
        <f t="shared" si="10"/>
        <v>13129.566744447384</v>
      </c>
      <c r="W49" s="68">
        <f t="shared" si="23"/>
        <v>12811.707507918738</v>
      </c>
      <c r="X49" s="68">
        <f t="shared" si="11"/>
        <v>153.03674444738317</v>
      </c>
      <c r="Y49" s="68">
        <f t="shared" si="12"/>
        <v>-317.85923652864585</v>
      </c>
      <c r="Z49" s="61">
        <f t="shared" si="24"/>
        <v>-164.82249208126268</v>
      </c>
      <c r="AA49" s="90">
        <f t="shared" si="25"/>
        <v>-4252.173061958455</v>
      </c>
      <c r="AB49" s="61"/>
    </row>
    <row r="50" spans="2:28" x14ac:dyDescent="0.3">
      <c r="B50" s="89" t="s">
        <v>107</v>
      </c>
      <c r="C50" s="60" t="s">
        <v>108</v>
      </c>
      <c r="D50" s="52" t="s">
        <v>130</v>
      </c>
      <c r="E50" s="60" t="s">
        <v>131</v>
      </c>
      <c r="F50" s="65">
        <v>45740</v>
      </c>
      <c r="G50" s="65">
        <v>45560</v>
      </c>
      <c r="H50" s="65">
        <v>45657</v>
      </c>
      <c r="I50" s="66">
        <f t="shared" si="16"/>
        <v>180</v>
      </c>
      <c r="J50" s="60">
        <f t="shared" si="17"/>
        <v>83</v>
      </c>
      <c r="K50" s="67">
        <f t="shared" si="18"/>
        <v>0.22739726027397261</v>
      </c>
      <c r="L50" s="54">
        <v>0.16</v>
      </c>
      <c r="M50" s="68">
        <v>500000</v>
      </c>
      <c r="N50" s="68">
        <v>521555.56</v>
      </c>
      <c r="O50" s="68">
        <f t="shared" si="19"/>
        <v>539452.05479452061</v>
      </c>
      <c r="P50" s="69">
        <f t="shared" si="15"/>
        <v>0.16220000000000001</v>
      </c>
      <c r="Q50" s="61">
        <f t="shared" si="20"/>
        <v>521324.53009740741</v>
      </c>
      <c r="R50" s="61">
        <f t="shared" si="9"/>
        <v>-231.02990259259241</v>
      </c>
      <c r="S50" s="61">
        <f t="shared" si="21"/>
        <v>-5960.2249420349954</v>
      </c>
      <c r="T50" s="69" cm="1">
        <f t="array" ref="T50">nelson(K50,NSS!$G$3,NSS!$G$4,NSS!$G$5,NSS!$G$6,NSS!$G$7,NSS!$G$8)</f>
        <v>4.2153352082361428E-2</v>
      </c>
      <c r="U50" s="69">
        <f t="shared" si="22"/>
        <v>0.16235335208236143</v>
      </c>
      <c r="V50" s="68">
        <f t="shared" si="10"/>
        <v>534330.20230379736</v>
      </c>
      <c r="W50" s="68">
        <f t="shared" si="23"/>
        <v>520245.27179766557</v>
      </c>
      <c r="X50" s="68">
        <f t="shared" si="11"/>
        <v>12774.642303797358</v>
      </c>
      <c r="Y50" s="68">
        <f t="shared" si="12"/>
        <v>-14084.930506131786</v>
      </c>
      <c r="Z50" s="61">
        <f t="shared" si="24"/>
        <v>-1310.2882023344282</v>
      </c>
      <c r="AA50" s="90">
        <f t="shared" si="25"/>
        <v>-33803.470187924744</v>
      </c>
      <c r="AB50" s="61"/>
    </row>
    <row r="51" spans="2:28" x14ac:dyDescent="0.3">
      <c r="B51" s="89" t="s">
        <v>107</v>
      </c>
      <c r="C51" s="60" t="s">
        <v>108</v>
      </c>
      <c r="D51" s="52" t="s">
        <v>120</v>
      </c>
      <c r="E51" s="60" t="s">
        <v>36</v>
      </c>
      <c r="F51" s="65">
        <v>45741</v>
      </c>
      <c r="G51" s="65">
        <v>45559</v>
      </c>
      <c r="H51" s="65">
        <v>45657</v>
      </c>
      <c r="I51" s="66">
        <f t="shared" si="16"/>
        <v>182</v>
      </c>
      <c r="J51" s="60">
        <f t="shared" si="17"/>
        <v>84</v>
      </c>
      <c r="K51" s="67">
        <f t="shared" si="18"/>
        <v>0.23013698630136986</v>
      </c>
      <c r="L51" s="54">
        <v>0.12</v>
      </c>
      <c r="M51" s="68">
        <v>500000</v>
      </c>
      <c r="N51" s="68">
        <v>516333.33</v>
      </c>
      <c r="O51" s="68">
        <f t="shared" si="19"/>
        <v>529917.80821917811</v>
      </c>
      <c r="P51" s="69">
        <f t="shared" si="15"/>
        <v>0.16220000000000001</v>
      </c>
      <c r="Q51" s="61">
        <f t="shared" si="20"/>
        <v>511899.81377607706</v>
      </c>
      <c r="R51" s="61">
        <f t="shared" si="9"/>
        <v>-4433.5162239229539</v>
      </c>
      <c r="S51" s="61">
        <f t="shared" si="21"/>
        <v>-114378.06830287633</v>
      </c>
      <c r="T51" s="69" cm="1">
        <f t="array" ref="T51">nelson(K51,NSS!$G$3,NSS!$G$4,NSS!$G$5,NSS!$G$6,NSS!$G$7,NSS!$G$8)</f>
        <v>4.214937016194148E-2</v>
      </c>
      <c r="U51" s="69">
        <f t="shared" si="22"/>
        <v>0.16234937016194148</v>
      </c>
      <c r="V51" s="68">
        <f t="shared" si="10"/>
        <v>524826.91938609025</v>
      </c>
      <c r="W51" s="68">
        <f t="shared" si="23"/>
        <v>510831.80643610575</v>
      </c>
      <c r="X51" s="68">
        <f t="shared" si="11"/>
        <v>8493.5893860902288</v>
      </c>
      <c r="Y51" s="68">
        <f t="shared" si="12"/>
        <v>-13995.112949984497</v>
      </c>
      <c r="Z51" s="61">
        <f t="shared" si="24"/>
        <v>-5501.5235638942686</v>
      </c>
      <c r="AA51" s="90">
        <f t="shared" si="25"/>
        <v>-141931.05566312629</v>
      </c>
      <c r="AB51" s="61"/>
    </row>
    <row r="52" spans="2:28" x14ac:dyDescent="0.3">
      <c r="B52" s="89" t="s">
        <v>107</v>
      </c>
      <c r="C52" s="60" t="s">
        <v>108</v>
      </c>
      <c r="D52" s="52" t="s">
        <v>122</v>
      </c>
      <c r="E52" s="60" t="s">
        <v>36</v>
      </c>
      <c r="F52" s="65">
        <v>45755</v>
      </c>
      <c r="G52" s="65">
        <v>45574</v>
      </c>
      <c r="H52" s="65">
        <v>45657</v>
      </c>
      <c r="I52" s="66">
        <f t="shared" si="16"/>
        <v>181</v>
      </c>
      <c r="J52" s="60">
        <f t="shared" si="17"/>
        <v>98</v>
      </c>
      <c r="K52" s="67">
        <f t="shared" si="18"/>
        <v>0.26849315068493151</v>
      </c>
      <c r="L52" s="54">
        <v>0.12</v>
      </c>
      <c r="M52" s="68">
        <v>111700</v>
      </c>
      <c r="N52" s="68">
        <v>114790.37</v>
      </c>
      <c r="O52" s="68">
        <f t="shared" si="19"/>
        <v>118346.91506849315</v>
      </c>
      <c r="P52" s="69">
        <f t="shared" ref="P52:P68" si="26">+$C$99+$C$103</f>
        <v>0.16250000000000001</v>
      </c>
      <c r="Q52" s="61">
        <f t="shared" si="20"/>
        <v>113657.83507018618</v>
      </c>
      <c r="R52" s="61">
        <f t="shared" si="9"/>
        <v>-1132.5349298138171</v>
      </c>
      <c r="S52" s="61">
        <f t="shared" si="21"/>
        <v>-29217.702386801764</v>
      </c>
      <c r="T52" s="69" cm="1">
        <f t="array" ref="T52">nelson(K52,NSS!$G$3,NSS!$G$4,NSS!$G$5,NSS!$G$6,NSS!$G$7,NSS!$G$8)</f>
        <v>4.207984669770834E-2</v>
      </c>
      <c r="U52" s="69">
        <f t="shared" si="22"/>
        <v>0.16227984669770834</v>
      </c>
      <c r="V52" s="68">
        <f t="shared" si="10"/>
        <v>117024.75179640508</v>
      </c>
      <c r="W52" s="68">
        <f t="shared" si="23"/>
        <v>113405.71170416534</v>
      </c>
      <c r="X52" s="68">
        <f t="shared" si="11"/>
        <v>2234.3817964050832</v>
      </c>
      <c r="Y52" s="68">
        <f t="shared" si="12"/>
        <v>-3619.0400922397384</v>
      </c>
      <c r="Z52" s="61">
        <f t="shared" si="24"/>
        <v>-1384.6582958346553</v>
      </c>
      <c r="AA52" s="90">
        <f t="shared" si="25"/>
        <v>-35722.107045090357</v>
      </c>
      <c r="AB52" s="61"/>
    </row>
    <row r="53" spans="2:28" x14ac:dyDescent="0.3">
      <c r="B53" s="89" t="s">
        <v>146</v>
      </c>
      <c r="C53" s="60" t="s">
        <v>147</v>
      </c>
      <c r="D53" s="52" t="s">
        <v>122</v>
      </c>
      <c r="E53" s="60" t="s">
        <v>36</v>
      </c>
      <c r="F53" s="65">
        <v>45755</v>
      </c>
      <c r="G53" s="65">
        <v>45574</v>
      </c>
      <c r="H53" s="65">
        <v>45657</v>
      </c>
      <c r="I53" s="66">
        <f t="shared" si="16"/>
        <v>181</v>
      </c>
      <c r="J53" s="60">
        <f t="shared" si="17"/>
        <v>98</v>
      </c>
      <c r="K53" s="67">
        <f t="shared" si="18"/>
        <v>0.26849315068493151</v>
      </c>
      <c r="L53" s="54">
        <v>0.12</v>
      </c>
      <c r="M53" s="68">
        <v>88000</v>
      </c>
      <c r="N53" s="68">
        <v>90434.67</v>
      </c>
      <c r="O53" s="68">
        <f t="shared" si="19"/>
        <v>93236.602739726033</v>
      </c>
      <c r="P53" s="69">
        <f t="shared" si="26"/>
        <v>0.16250000000000001</v>
      </c>
      <c r="Q53" s="61">
        <f t="shared" si="20"/>
        <v>89542.430493969412</v>
      </c>
      <c r="R53" s="61">
        <f t="shared" si="9"/>
        <v>-892.2395060305862</v>
      </c>
      <c r="S53" s="61">
        <f t="shared" si="21"/>
        <v>-23018.440896330078</v>
      </c>
      <c r="T53" s="69" cm="1">
        <f t="array" ref="T53">nelson(K53,NSS!$G$3,NSS!$G$4,NSS!$G$5,NSS!$G$6,NSS!$G$7,NSS!$G$8)</f>
        <v>4.207984669770834E-2</v>
      </c>
      <c r="U53" s="69">
        <f t="shared" si="22"/>
        <v>0.16227984669770834</v>
      </c>
      <c r="V53" s="68">
        <f t="shared" si="10"/>
        <v>92194.970081321822</v>
      </c>
      <c r="W53" s="68">
        <f t="shared" si="23"/>
        <v>89343.80152163429</v>
      </c>
      <c r="X53" s="68">
        <f t="shared" si="11"/>
        <v>1760.3000813218241</v>
      </c>
      <c r="Y53" s="68">
        <f t="shared" si="12"/>
        <v>-2851.1685596875323</v>
      </c>
      <c r="Z53" s="61">
        <f t="shared" si="24"/>
        <v>-1090.8684783657081</v>
      </c>
      <c r="AA53" s="90">
        <f t="shared" si="25"/>
        <v>-28142.770439117721</v>
      </c>
      <c r="AB53" s="61"/>
    </row>
    <row r="54" spans="2:28" x14ac:dyDescent="0.3">
      <c r="B54" s="89" t="s">
        <v>27</v>
      </c>
      <c r="C54" s="60" t="s">
        <v>28</v>
      </c>
      <c r="D54" s="52" t="s">
        <v>87</v>
      </c>
      <c r="E54" s="60" t="s">
        <v>88</v>
      </c>
      <c r="F54" s="65">
        <v>45761</v>
      </c>
      <c r="G54" s="65">
        <v>45579</v>
      </c>
      <c r="H54" s="65">
        <v>45657</v>
      </c>
      <c r="I54" s="66">
        <f t="shared" si="16"/>
        <v>182</v>
      </c>
      <c r="J54" s="60">
        <f t="shared" si="17"/>
        <v>104</v>
      </c>
      <c r="K54" s="67">
        <f t="shared" si="18"/>
        <v>0.28493150684931506</v>
      </c>
      <c r="L54" s="54">
        <v>0.12</v>
      </c>
      <c r="M54" s="68">
        <v>100000</v>
      </c>
      <c r="N54" s="68">
        <v>102600</v>
      </c>
      <c r="O54" s="68">
        <f t="shared" si="19"/>
        <v>105983.56164383562</v>
      </c>
      <c r="P54" s="69">
        <f t="shared" si="26"/>
        <v>0.16250000000000001</v>
      </c>
      <c r="Q54" s="61">
        <f t="shared" si="20"/>
        <v>101532.71398232297</v>
      </c>
      <c r="R54" s="61">
        <f t="shared" si="9"/>
        <v>-1067.2860176770337</v>
      </c>
      <c r="S54" s="61">
        <f t="shared" si="21"/>
        <v>-27534.378327040955</v>
      </c>
      <c r="T54" s="69" cm="1">
        <f t="array" ref="T54">nelson(K54,NSS!$G$3,NSS!$G$4,NSS!$G$5,NSS!$G$6,NSS!$G$7,NSS!$G$8)</f>
        <v>4.2042740356898506E-2</v>
      </c>
      <c r="U54" s="69">
        <f t="shared" si="22"/>
        <v>0.16224274035689851</v>
      </c>
      <c r="V54" s="68">
        <f t="shared" si="10"/>
        <v>104728.9816117764</v>
      </c>
      <c r="W54" s="68">
        <f t="shared" si="23"/>
        <v>101300.62921871369</v>
      </c>
      <c r="X54" s="68">
        <f t="shared" si="11"/>
        <v>2128.9816117763985</v>
      </c>
      <c r="Y54" s="68">
        <f t="shared" si="12"/>
        <v>-3428.3523930627125</v>
      </c>
      <c r="Z54" s="61">
        <f t="shared" si="24"/>
        <v>-1299.370781286314</v>
      </c>
      <c r="AA54" s="90">
        <f t="shared" si="25"/>
        <v>-33521.817101014974</v>
      </c>
      <c r="AB54" s="61"/>
    </row>
    <row r="55" spans="2:28" x14ac:dyDescent="0.3">
      <c r="B55" s="89" t="s">
        <v>107</v>
      </c>
      <c r="C55" s="60" t="s">
        <v>108</v>
      </c>
      <c r="D55" s="52" t="s">
        <v>87</v>
      </c>
      <c r="E55" s="60" t="s">
        <v>88</v>
      </c>
      <c r="F55" s="65">
        <v>45761</v>
      </c>
      <c r="G55" s="65">
        <v>45579</v>
      </c>
      <c r="H55" s="65">
        <v>45657</v>
      </c>
      <c r="I55" s="66">
        <f t="shared" si="16"/>
        <v>182</v>
      </c>
      <c r="J55" s="60">
        <f t="shared" si="17"/>
        <v>104</v>
      </c>
      <c r="K55" s="67">
        <f t="shared" si="18"/>
        <v>0.28493150684931506</v>
      </c>
      <c r="L55" s="54">
        <v>0.12</v>
      </c>
      <c r="M55" s="68">
        <v>400000</v>
      </c>
      <c r="N55" s="68">
        <v>410400</v>
      </c>
      <c r="O55" s="68">
        <f t="shared" si="19"/>
        <v>423934.24657534249</v>
      </c>
      <c r="P55" s="69">
        <f t="shared" si="26"/>
        <v>0.16250000000000001</v>
      </c>
      <c r="Q55" s="61">
        <f t="shared" si="20"/>
        <v>406130.85592929187</v>
      </c>
      <c r="R55" s="61">
        <f t="shared" si="9"/>
        <v>-4269.1440707081347</v>
      </c>
      <c r="S55" s="61">
        <f t="shared" si="21"/>
        <v>-110137.51330816382</v>
      </c>
      <c r="T55" s="69" cm="1">
        <f t="array" ref="T55">nelson(K55,NSS!$G$3,NSS!$G$4,NSS!$G$5,NSS!$G$6,NSS!$G$7,NSS!$G$8)</f>
        <v>4.2042740356898506E-2</v>
      </c>
      <c r="U55" s="69">
        <f t="shared" si="22"/>
        <v>0.16224274035689851</v>
      </c>
      <c r="V55" s="68">
        <f t="shared" si="10"/>
        <v>418915.92644710559</v>
      </c>
      <c r="W55" s="68">
        <f t="shared" si="23"/>
        <v>405202.51687485474</v>
      </c>
      <c r="X55" s="68">
        <f t="shared" si="11"/>
        <v>8515.926447105594</v>
      </c>
      <c r="Y55" s="68">
        <f t="shared" si="12"/>
        <v>-13713.40957225085</v>
      </c>
      <c r="Z55" s="61">
        <f t="shared" si="24"/>
        <v>-5197.4831251452561</v>
      </c>
      <c r="AA55" s="90">
        <f t="shared" si="25"/>
        <v>-134087.2684040599</v>
      </c>
      <c r="AB55" s="61"/>
    </row>
    <row r="56" spans="2:28" x14ac:dyDescent="0.3">
      <c r="B56" s="91" t="s">
        <v>107</v>
      </c>
      <c r="C56" s="52" t="s">
        <v>108</v>
      </c>
      <c r="D56" s="52" t="s">
        <v>178</v>
      </c>
      <c r="E56" s="70" t="s">
        <v>31</v>
      </c>
      <c r="F56" s="65">
        <v>45768</v>
      </c>
      <c r="G56" s="65">
        <v>45497</v>
      </c>
      <c r="H56" s="65">
        <v>45657</v>
      </c>
      <c r="I56" s="66">
        <f t="shared" si="16"/>
        <v>271</v>
      </c>
      <c r="J56" s="60">
        <f t="shared" si="17"/>
        <v>111</v>
      </c>
      <c r="K56" s="67">
        <f t="shared" si="18"/>
        <v>0.30410958904109592</v>
      </c>
      <c r="L56" s="54">
        <v>0.1</v>
      </c>
      <c r="M56" s="71">
        <v>250000</v>
      </c>
      <c r="N56" s="71">
        <v>260958.9</v>
      </c>
      <c r="O56" s="68">
        <f t="shared" si="19"/>
        <v>268561.64383561641</v>
      </c>
      <c r="P56" s="69">
        <f t="shared" si="26"/>
        <v>0.16250000000000001</v>
      </c>
      <c r="Q56" s="61">
        <f t="shared" si="20"/>
        <v>256541.34057724132</v>
      </c>
      <c r="R56" s="61">
        <f t="shared" si="9"/>
        <v>-4417.5594227586698</v>
      </c>
      <c r="S56" s="61">
        <f t="shared" si="21"/>
        <v>-113966.40676803955</v>
      </c>
      <c r="T56" s="69" cm="1">
        <f t="array" ref="T56">nelson(K56,NSS!$G$3,NSS!$G$4,NSS!$G$5,NSS!$G$6,NSS!$G$7,NSS!$G$8)</f>
        <v>4.1994443168095114E-2</v>
      </c>
      <c r="U56" s="69">
        <f t="shared" si="22"/>
        <v>0.16219444316809511</v>
      </c>
      <c r="V56" s="68">
        <f t="shared" si="10"/>
        <v>265175.11554399208</v>
      </c>
      <c r="W56" s="68">
        <f t="shared" si="23"/>
        <v>255937.5533334041</v>
      </c>
      <c r="X56" s="68">
        <f t="shared" si="11"/>
        <v>4216.2155439920898</v>
      </c>
      <c r="Y56" s="68">
        <f t="shared" si="12"/>
        <v>-9237.5622105879884</v>
      </c>
      <c r="Z56" s="61">
        <f t="shared" si="24"/>
        <v>-5021.3466665958986</v>
      </c>
      <c r="AA56" s="90">
        <f t="shared" si="25"/>
        <v>-129543.21197817429</v>
      </c>
      <c r="AB56" s="61"/>
    </row>
    <row r="57" spans="2:28" x14ac:dyDescent="0.3">
      <c r="B57" s="89" t="s">
        <v>32</v>
      </c>
      <c r="C57" s="60" t="s">
        <v>33</v>
      </c>
      <c r="D57" s="52" t="s">
        <v>35</v>
      </c>
      <c r="E57" s="60" t="s">
        <v>36</v>
      </c>
      <c r="F57" s="65">
        <v>45770</v>
      </c>
      <c r="G57" s="65">
        <v>45590</v>
      </c>
      <c r="H57" s="65">
        <v>45657</v>
      </c>
      <c r="I57" s="66">
        <f t="shared" si="16"/>
        <v>180</v>
      </c>
      <c r="J57" s="60">
        <f t="shared" si="17"/>
        <v>113</v>
      </c>
      <c r="K57" s="67">
        <f t="shared" si="18"/>
        <v>0.30958904109589042</v>
      </c>
      <c r="L57" s="54">
        <v>0.12</v>
      </c>
      <c r="M57" s="68">
        <v>3200</v>
      </c>
      <c r="N57" s="68">
        <v>3271.47</v>
      </c>
      <c r="O57" s="68">
        <f t="shared" si="19"/>
        <v>3389.3698630136987</v>
      </c>
      <c r="P57" s="69">
        <f t="shared" si="26"/>
        <v>0.16250000000000001</v>
      </c>
      <c r="Q57" s="61">
        <f t="shared" si="20"/>
        <v>3234.9980207398053</v>
      </c>
      <c r="R57" s="61">
        <f t="shared" si="9"/>
        <v>-36.47197926019453</v>
      </c>
      <c r="S57" s="61">
        <f t="shared" si="21"/>
        <v>-940.92235694412864</v>
      </c>
      <c r="T57" s="69" cm="1">
        <f t="array" ref="T57">nelson(K57,NSS!$G$3,NSS!$G$4,NSS!$G$5,NSS!$G$6,NSS!$G$7,NSS!$G$8)</f>
        <v>4.1979711576011186E-2</v>
      </c>
      <c r="U57" s="69">
        <f t="shared" si="22"/>
        <v>0.16217971157601119</v>
      </c>
      <c r="V57" s="68">
        <f t="shared" si="10"/>
        <v>3345.8852043006655</v>
      </c>
      <c r="W57" s="68">
        <f t="shared" si="23"/>
        <v>3227.3287173138415</v>
      </c>
      <c r="X57" s="68">
        <f t="shared" si="11"/>
        <v>74.415204300665664</v>
      </c>
      <c r="Y57" s="68">
        <f t="shared" si="12"/>
        <v>-118.55648698682398</v>
      </c>
      <c r="Z57" s="61">
        <f t="shared" si="24"/>
        <v>-44.14128268615832</v>
      </c>
      <c r="AA57" s="90">
        <f t="shared" si="25"/>
        <v>-1138.7788813788554</v>
      </c>
      <c r="AB57" s="61"/>
    </row>
    <row r="58" spans="2:28" x14ac:dyDescent="0.3">
      <c r="B58" s="89" t="s">
        <v>38</v>
      </c>
      <c r="C58" s="60" t="s">
        <v>39</v>
      </c>
      <c r="D58" s="52" t="s">
        <v>35</v>
      </c>
      <c r="E58" s="60" t="s">
        <v>36</v>
      </c>
      <c r="F58" s="65">
        <v>45770</v>
      </c>
      <c r="G58" s="65">
        <v>45590</v>
      </c>
      <c r="H58" s="65">
        <v>45657</v>
      </c>
      <c r="I58" s="66">
        <f t="shared" si="16"/>
        <v>180</v>
      </c>
      <c r="J58" s="60">
        <f t="shared" si="17"/>
        <v>113</v>
      </c>
      <c r="K58" s="67">
        <f t="shared" si="18"/>
        <v>0.30958904109589042</v>
      </c>
      <c r="L58" s="54">
        <v>0.12</v>
      </c>
      <c r="M58" s="68">
        <v>16000</v>
      </c>
      <c r="N58" s="68">
        <v>16357.33</v>
      </c>
      <c r="O58" s="68">
        <f t="shared" si="19"/>
        <v>16946.849315068492</v>
      </c>
      <c r="P58" s="69">
        <f t="shared" si="26"/>
        <v>0.16250000000000001</v>
      </c>
      <c r="Q58" s="61">
        <f t="shared" si="20"/>
        <v>16174.990103699025</v>
      </c>
      <c r="R58" s="61">
        <f t="shared" si="9"/>
        <v>-182.33989630097494</v>
      </c>
      <c r="S58" s="61">
        <f t="shared" si="21"/>
        <v>-4704.095814720702</v>
      </c>
      <c r="T58" s="69" cm="1">
        <f t="array" ref="T58">nelson(K58,NSS!$G$3,NSS!$G$4,NSS!$G$5,NSS!$G$6,NSS!$G$7,NSS!$G$8)</f>
        <v>4.1979711576011186E-2</v>
      </c>
      <c r="U58" s="69">
        <f t="shared" si="22"/>
        <v>0.16217971157601119</v>
      </c>
      <c r="V58" s="68">
        <f t="shared" si="10"/>
        <v>16729.426021503325</v>
      </c>
      <c r="W58" s="68">
        <f t="shared" si="23"/>
        <v>16136.643586569206</v>
      </c>
      <c r="X58" s="68">
        <f t="shared" si="11"/>
        <v>372.09602150332466</v>
      </c>
      <c r="Y58" s="68">
        <f t="shared" si="12"/>
        <v>-592.78243493411901</v>
      </c>
      <c r="Z58" s="61">
        <f t="shared" si="24"/>
        <v>-220.68641343079435</v>
      </c>
      <c r="AA58" s="90">
        <f t="shared" si="25"/>
        <v>-5693.3784368943479</v>
      </c>
      <c r="AB58" s="61"/>
    </row>
    <row r="59" spans="2:28" x14ac:dyDescent="0.3">
      <c r="B59" s="89" t="s">
        <v>46</v>
      </c>
      <c r="C59" s="60" t="s">
        <v>47</v>
      </c>
      <c r="D59" s="52" t="s">
        <v>35</v>
      </c>
      <c r="E59" s="60" t="s">
        <v>36</v>
      </c>
      <c r="F59" s="65">
        <v>45770</v>
      </c>
      <c r="G59" s="65">
        <v>45590</v>
      </c>
      <c r="H59" s="65">
        <v>45657</v>
      </c>
      <c r="I59" s="66">
        <f t="shared" si="16"/>
        <v>180</v>
      </c>
      <c r="J59" s="60">
        <f t="shared" si="17"/>
        <v>113</v>
      </c>
      <c r="K59" s="67">
        <f t="shared" si="18"/>
        <v>0.30958904109589042</v>
      </c>
      <c r="L59" s="54">
        <v>0.12</v>
      </c>
      <c r="M59" s="68">
        <v>4000</v>
      </c>
      <c r="N59" s="68">
        <v>4089.33</v>
      </c>
      <c r="O59" s="68">
        <f t="shared" si="19"/>
        <v>4236.7123287671229</v>
      </c>
      <c r="P59" s="69">
        <f t="shared" si="26"/>
        <v>0.16250000000000001</v>
      </c>
      <c r="Q59" s="61">
        <f t="shared" si="20"/>
        <v>4043.7475259247562</v>
      </c>
      <c r="R59" s="61">
        <f t="shared" si="9"/>
        <v>-45.582474075243681</v>
      </c>
      <c r="S59" s="61">
        <f t="shared" si="21"/>
        <v>-1175.9594574301741</v>
      </c>
      <c r="T59" s="69" cm="1">
        <f t="array" ref="T59">nelson(K59,NSS!$G$3,NSS!$G$4,NSS!$G$5,NSS!$G$6,NSS!$G$7,NSS!$G$8)</f>
        <v>4.1979711576011186E-2</v>
      </c>
      <c r="U59" s="69">
        <f t="shared" si="22"/>
        <v>0.16217971157601119</v>
      </c>
      <c r="V59" s="68">
        <f t="shared" si="10"/>
        <v>4182.3565053758311</v>
      </c>
      <c r="W59" s="68">
        <f t="shared" si="23"/>
        <v>4034.1608966423014</v>
      </c>
      <c r="X59" s="68">
        <f t="shared" si="11"/>
        <v>93.026505375831221</v>
      </c>
      <c r="Y59" s="68">
        <f t="shared" si="12"/>
        <v>-148.19560873352975</v>
      </c>
      <c r="Z59" s="61">
        <f t="shared" si="24"/>
        <v>-55.169103357698532</v>
      </c>
      <c r="AA59" s="90">
        <f t="shared" si="25"/>
        <v>-1423.2801129735856</v>
      </c>
      <c r="AB59" s="61"/>
    </row>
    <row r="60" spans="2:28" x14ac:dyDescent="0.3">
      <c r="B60" s="89" t="s">
        <v>50</v>
      </c>
      <c r="C60" s="60" t="s">
        <v>51</v>
      </c>
      <c r="D60" s="52" t="s">
        <v>35</v>
      </c>
      <c r="E60" s="60" t="s">
        <v>36</v>
      </c>
      <c r="F60" s="65">
        <v>45770</v>
      </c>
      <c r="G60" s="65">
        <v>45590</v>
      </c>
      <c r="H60" s="65">
        <v>45657</v>
      </c>
      <c r="I60" s="66">
        <f t="shared" si="16"/>
        <v>180</v>
      </c>
      <c r="J60" s="60">
        <f t="shared" si="17"/>
        <v>113</v>
      </c>
      <c r="K60" s="67">
        <f t="shared" si="18"/>
        <v>0.30958904109589042</v>
      </c>
      <c r="L60" s="54">
        <v>0.12</v>
      </c>
      <c r="M60" s="68">
        <v>2000</v>
      </c>
      <c r="N60" s="68">
        <v>2044.67</v>
      </c>
      <c r="O60" s="68">
        <f t="shared" si="19"/>
        <v>2118.3561643835615</v>
      </c>
      <c r="P60" s="69">
        <f t="shared" si="26"/>
        <v>0.16250000000000001</v>
      </c>
      <c r="Q60" s="61">
        <f t="shared" si="20"/>
        <v>2021.8737629623781</v>
      </c>
      <c r="R60" s="61">
        <f t="shared" si="9"/>
        <v>-22.79623703762195</v>
      </c>
      <c r="S60" s="61">
        <f t="shared" si="21"/>
        <v>-588.10872121508987</v>
      </c>
      <c r="T60" s="69" cm="1">
        <f t="array" ref="T60">nelson(K60,NSS!$G$3,NSS!$G$4,NSS!$G$5,NSS!$G$6,NSS!$G$7,NSS!$G$8)</f>
        <v>4.1979711576011186E-2</v>
      </c>
      <c r="U60" s="69">
        <f t="shared" si="22"/>
        <v>0.16217971157601119</v>
      </c>
      <c r="V60" s="68">
        <f t="shared" si="10"/>
        <v>2091.1782526879156</v>
      </c>
      <c r="W60" s="68">
        <f t="shared" si="23"/>
        <v>2017.0804483211507</v>
      </c>
      <c r="X60" s="68">
        <f t="shared" si="11"/>
        <v>46.508252687915501</v>
      </c>
      <c r="Y60" s="68">
        <f t="shared" si="12"/>
        <v>-74.097804366764876</v>
      </c>
      <c r="Z60" s="61">
        <f t="shared" si="24"/>
        <v>-27.589551678849375</v>
      </c>
      <c r="AA60" s="90">
        <f t="shared" si="25"/>
        <v>-711.76904898679561</v>
      </c>
      <c r="AB60" s="61"/>
    </row>
    <row r="61" spans="2:28" x14ac:dyDescent="0.3">
      <c r="B61" s="89" t="s">
        <v>74</v>
      </c>
      <c r="C61" s="60" t="s">
        <v>75</v>
      </c>
      <c r="D61" s="52" t="s">
        <v>35</v>
      </c>
      <c r="E61" s="60" t="s">
        <v>36</v>
      </c>
      <c r="F61" s="65">
        <v>45770</v>
      </c>
      <c r="G61" s="65">
        <v>45590</v>
      </c>
      <c r="H61" s="65">
        <v>45657</v>
      </c>
      <c r="I61" s="66">
        <f t="shared" si="16"/>
        <v>180</v>
      </c>
      <c r="J61" s="60">
        <f t="shared" si="17"/>
        <v>113</v>
      </c>
      <c r="K61" s="67">
        <f t="shared" si="18"/>
        <v>0.30958904109589042</v>
      </c>
      <c r="L61" s="54">
        <v>0.12</v>
      </c>
      <c r="M61" s="68">
        <v>27000</v>
      </c>
      <c r="N61" s="68">
        <v>27603</v>
      </c>
      <c r="O61" s="68">
        <f t="shared" si="19"/>
        <v>28597.808219178081</v>
      </c>
      <c r="P61" s="69">
        <f t="shared" si="26"/>
        <v>0.16250000000000001</v>
      </c>
      <c r="Q61" s="61">
        <f t="shared" si="20"/>
        <v>27295.295799992105</v>
      </c>
      <c r="R61" s="61">
        <f t="shared" si="9"/>
        <v>-307.70420000789454</v>
      </c>
      <c r="S61" s="61">
        <f t="shared" si="21"/>
        <v>-7938.306803903668</v>
      </c>
      <c r="T61" s="69" cm="1">
        <f t="array" ref="T61">nelson(K61,NSS!$G$3,NSS!$G$4,NSS!$G$5,NSS!$G$6,NSS!$G$7,NSS!$G$8)</f>
        <v>4.1979711576011186E-2</v>
      </c>
      <c r="U61" s="69">
        <f t="shared" si="22"/>
        <v>0.16217971157601119</v>
      </c>
      <c r="V61" s="68">
        <f t="shared" si="10"/>
        <v>28230.906411286862</v>
      </c>
      <c r="W61" s="68">
        <f t="shared" si="23"/>
        <v>27230.586052335537</v>
      </c>
      <c r="X61" s="68">
        <f t="shared" si="11"/>
        <v>627.90641128686184</v>
      </c>
      <c r="Y61" s="68">
        <f t="shared" si="12"/>
        <v>-1000.320358951325</v>
      </c>
      <c r="Z61" s="61">
        <f t="shared" si="24"/>
        <v>-372.41394766446319</v>
      </c>
      <c r="AA61" s="90">
        <f t="shared" si="25"/>
        <v>-9607.7212288216542</v>
      </c>
      <c r="AB61" s="61"/>
    </row>
    <row r="62" spans="2:28" x14ac:dyDescent="0.3">
      <c r="B62" s="89" t="s">
        <v>101</v>
      </c>
      <c r="C62" s="60" t="s">
        <v>102</v>
      </c>
      <c r="D62" s="52" t="s">
        <v>35</v>
      </c>
      <c r="E62" s="60" t="s">
        <v>36</v>
      </c>
      <c r="F62" s="65">
        <v>45770</v>
      </c>
      <c r="G62" s="65">
        <v>45590</v>
      </c>
      <c r="H62" s="65">
        <v>45657</v>
      </c>
      <c r="I62" s="66">
        <f t="shared" si="16"/>
        <v>180</v>
      </c>
      <c r="J62" s="60">
        <f t="shared" si="17"/>
        <v>113</v>
      </c>
      <c r="K62" s="67">
        <f t="shared" si="18"/>
        <v>0.30958904109589042</v>
      </c>
      <c r="L62" s="54">
        <v>0.12</v>
      </c>
      <c r="M62" s="68">
        <v>14700</v>
      </c>
      <c r="N62" s="68">
        <v>15028.3</v>
      </c>
      <c r="O62" s="68">
        <f t="shared" si="19"/>
        <v>15569.917808219177</v>
      </c>
      <c r="P62" s="69">
        <f t="shared" si="26"/>
        <v>0.16250000000000001</v>
      </c>
      <c r="Q62" s="61">
        <f t="shared" si="20"/>
        <v>14860.772157773481</v>
      </c>
      <c r="R62" s="61">
        <f t="shared" si="9"/>
        <v>-167.52784222651826</v>
      </c>
      <c r="S62" s="61">
        <f t="shared" si="21"/>
        <v>-4321.9670376808317</v>
      </c>
      <c r="T62" s="69" cm="1">
        <f t="array" ref="T62">nelson(K62,NSS!$G$3,NSS!$G$4,NSS!$G$5,NSS!$G$6,NSS!$G$7,NSS!$G$8)</f>
        <v>4.1979711576011186E-2</v>
      </c>
      <c r="U62" s="69">
        <f t="shared" si="22"/>
        <v>0.16217971157601119</v>
      </c>
      <c r="V62" s="68">
        <f t="shared" si="10"/>
        <v>15370.160157256179</v>
      </c>
      <c r="W62" s="68">
        <f t="shared" si="23"/>
        <v>14825.541295160458</v>
      </c>
      <c r="X62" s="68">
        <f t="shared" si="11"/>
        <v>341.86015725618017</v>
      </c>
      <c r="Y62" s="68">
        <f t="shared" si="12"/>
        <v>-544.61886209572185</v>
      </c>
      <c r="Z62" s="61">
        <f t="shared" si="24"/>
        <v>-202.75870483954168</v>
      </c>
      <c r="AA62" s="90">
        <f t="shared" si="25"/>
        <v>-5230.8704468029164</v>
      </c>
      <c r="AB62" s="61"/>
    </row>
    <row r="63" spans="2:28" x14ac:dyDescent="0.3">
      <c r="B63" s="89" t="s">
        <v>103</v>
      </c>
      <c r="C63" s="60" t="s">
        <v>104</v>
      </c>
      <c r="D63" s="52" t="s">
        <v>35</v>
      </c>
      <c r="E63" s="60" t="s">
        <v>36</v>
      </c>
      <c r="F63" s="65">
        <v>45770</v>
      </c>
      <c r="G63" s="65">
        <v>45590</v>
      </c>
      <c r="H63" s="65">
        <v>45657</v>
      </c>
      <c r="I63" s="66">
        <f t="shared" si="16"/>
        <v>180</v>
      </c>
      <c r="J63" s="60">
        <f t="shared" si="17"/>
        <v>113</v>
      </c>
      <c r="K63" s="67">
        <f t="shared" si="18"/>
        <v>0.30958904109589042</v>
      </c>
      <c r="L63" s="54">
        <v>0.12</v>
      </c>
      <c r="M63" s="68">
        <v>3200</v>
      </c>
      <c r="N63" s="68">
        <v>3271.47</v>
      </c>
      <c r="O63" s="68">
        <f t="shared" si="19"/>
        <v>3389.3698630136987</v>
      </c>
      <c r="P63" s="69">
        <f t="shared" si="26"/>
        <v>0.16250000000000001</v>
      </c>
      <c r="Q63" s="61">
        <f t="shared" si="20"/>
        <v>3234.9980207398053</v>
      </c>
      <c r="R63" s="61">
        <f t="shared" si="9"/>
        <v>-36.47197926019453</v>
      </c>
      <c r="S63" s="61">
        <f t="shared" si="21"/>
        <v>-940.92235694412864</v>
      </c>
      <c r="T63" s="69" cm="1">
        <f t="array" ref="T63">nelson(K63,NSS!$G$3,NSS!$G$4,NSS!$G$5,NSS!$G$6,NSS!$G$7,NSS!$G$8)</f>
        <v>4.1979711576011186E-2</v>
      </c>
      <c r="U63" s="69">
        <f t="shared" si="22"/>
        <v>0.16217971157601119</v>
      </c>
      <c r="V63" s="68">
        <f t="shared" si="10"/>
        <v>3345.8852043006655</v>
      </c>
      <c r="W63" s="68">
        <f t="shared" si="23"/>
        <v>3227.3287173138415</v>
      </c>
      <c r="X63" s="68">
        <f t="shared" si="11"/>
        <v>74.415204300665664</v>
      </c>
      <c r="Y63" s="68">
        <f t="shared" si="12"/>
        <v>-118.55648698682398</v>
      </c>
      <c r="Z63" s="61">
        <f t="shared" si="24"/>
        <v>-44.14128268615832</v>
      </c>
      <c r="AA63" s="90">
        <f t="shared" si="25"/>
        <v>-1138.7788813788554</v>
      </c>
      <c r="AB63" s="61"/>
    </row>
    <row r="64" spans="2:28" x14ac:dyDescent="0.3">
      <c r="B64" s="89" t="s">
        <v>105</v>
      </c>
      <c r="C64" s="60" t="s">
        <v>106</v>
      </c>
      <c r="D64" s="52" t="s">
        <v>35</v>
      </c>
      <c r="E64" s="60" t="s">
        <v>36</v>
      </c>
      <c r="F64" s="65">
        <v>45770</v>
      </c>
      <c r="G64" s="65">
        <v>45590</v>
      </c>
      <c r="H64" s="65">
        <v>45657</v>
      </c>
      <c r="I64" s="66">
        <f t="shared" si="16"/>
        <v>180</v>
      </c>
      <c r="J64" s="60">
        <f t="shared" si="17"/>
        <v>113</v>
      </c>
      <c r="K64" s="67">
        <f t="shared" si="18"/>
        <v>0.30958904109589042</v>
      </c>
      <c r="L64" s="54">
        <v>0.12</v>
      </c>
      <c r="M64" s="68">
        <v>1000</v>
      </c>
      <c r="N64" s="68">
        <v>1022.33</v>
      </c>
      <c r="O64" s="68">
        <f t="shared" si="19"/>
        <v>1059.1780821917807</v>
      </c>
      <c r="P64" s="69">
        <f t="shared" si="26"/>
        <v>0.16250000000000001</v>
      </c>
      <c r="Q64" s="61">
        <f t="shared" si="20"/>
        <v>1010.9368814811891</v>
      </c>
      <c r="R64" s="61">
        <f t="shared" si="9"/>
        <v>-11.393118518810979</v>
      </c>
      <c r="S64" s="61">
        <f t="shared" si="21"/>
        <v>-293.92536810754507</v>
      </c>
      <c r="T64" s="69" cm="1">
        <f t="array" ref="T64">nelson(K64,NSS!$G$3,NSS!$G$4,NSS!$G$5,NSS!$G$6,NSS!$G$7,NSS!$G$8)</f>
        <v>4.1979711576011186E-2</v>
      </c>
      <c r="U64" s="69">
        <f t="shared" si="22"/>
        <v>0.16217971157601119</v>
      </c>
      <c r="V64" s="68">
        <f t="shared" si="10"/>
        <v>1045.5891263439578</v>
      </c>
      <c r="W64" s="68">
        <f t="shared" si="23"/>
        <v>1008.5402241605753</v>
      </c>
      <c r="X64" s="68">
        <f t="shared" si="11"/>
        <v>23.259126343957746</v>
      </c>
      <c r="Y64" s="68">
        <f t="shared" si="12"/>
        <v>-37.048902183382438</v>
      </c>
      <c r="Z64" s="61">
        <f t="shared" si="24"/>
        <v>-13.789775839424692</v>
      </c>
      <c r="AA64" s="90">
        <f t="shared" si="25"/>
        <v>-355.75553199339794</v>
      </c>
      <c r="AB64" s="61"/>
    </row>
    <row r="65" spans="2:28" x14ac:dyDescent="0.3">
      <c r="B65" s="89" t="s">
        <v>140</v>
      </c>
      <c r="C65" s="60" t="s">
        <v>141</v>
      </c>
      <c r="D65" s="52" t="s">
        <v>35</v>
      </c>
      <c r="E65" s="60" t="s">
        <v>36</v>
      </c>
      <c r="F65" s="65">
        <v>45770</v>
      </c>
      <c r="G65" s="65">
        <v>45590</v>
      </c>
      <c r="H65" s="65">
        <v>45657</v>
      </c>
      <c r="I65" s="66">
        <f t="shared" si="16"/>
        <v>180</v>
      </c>
      <c r="J65" s="60">
        <f t="shared" si="17"/>
        <v>113</v>
      </c>
      <c r="K65" s="67">
        <f t="shared" si="18"/>
        <v>0.30958904109589042</v>
      </c>
      <c r="L65" s="54">
        <v>0.12</v>
      </c>
      <c r="M65" s="68">
        <v>2900</v>
      </c>
      <c r="N65" s="68">
        <v>2964.77</v>
      </c>
      <c r="O65" s="68">
        <f t="shared" si="19"/>
        <v>3071.6164383561645</v>
      </c>
      <c r="P65" s="69">
        <f t="shared" si="26"/>
        <v>0.16250000000000001</v>
      </c>
      <c r="Q65" s="61">
        <f t="shared" si="20"/>
        <v>2931.7169562954487</v>
      </c>
      <c r="R65" s="61">
        <f t="shared" si="9"/>
        <v>-33.053043704551328</v>
      </c>
      <c r="S65" s="61">
        <f t="shared" si="21"/>
        <v>-852.7189480118675</v>
      </c>
      <c r="T65" s="69" cm="1">
        <f t="array" ref="T65">nelson(K65,NSS!$G$3,NSS!$G$4,NSS!$G$5,NSS!$G$6,NSS!$G$7,NSS!$G$8)</f>
        <v>4.1979711576011186E-2</v>
      </c>
      <c r="U65" s="69">
        <f t="shared" si="22"/>
        <v>0.16217971157601119</v>
      </c>
      <c r="V65" s="68">
        <f t="shared" si="10"/>
        <v>3032.2084663974779</v>
      </c>
      <c r="W65" s="68">
        <f t="shared" si="23"/>
        <v>2924.7666500656687</v>
      </c>
      <c r="X65" s="68">
        <f t="shared" si="11"/>
        <v>67.438466397477896</v>
      </c>
      <c r="Y65" s="68">
        <f t="shared" si="12"/>
        <v>-107.44181633180915</v>
      </c>
      <c r="Z65" s="61">
        <f t="shared" si="24"/>
        <v>-40.003349934331254</v>
      </c>
      <c r="AA65" s="90">
        <f t="shared" si="25"/>
        <v>-1032.0264232808449</v>
      </c>
      <c r="AB65" s="61"/>
    </row>
    <row r="66" spans="2:28" x14ac:dyDescent="0.3">
      <c r="B66" s="89" t="s">
        <v>142</v>
      </c>
      <c r="C66" s="60" t="s">
        <v>143</v>
      </c>
      <c r="D66" s="52" t="s">
        <v>35</v>
      </c>
      <c r="E66" s="60" t="s">
        <v>36</v>
      </c>
      <c r="F66" s="65">
        <v>45770</v>
      </c>
      <c r="G66" s="65">
        <v>45590</v>
      </c>
      <c r="H66" s="65">
        <v>45657</v>
      </c>
      <c r="I66" s="66">
        <f t="shared" si="16"/>
        <v>180</v>
      </c>
      <c r="J66" s="60">
        <f t="shared" si="17"/>
        <v>113</v>
      </c>
      <c r="K66" s="67">
        <f t="shared" si="18"/>
        <v>0.30958904109589042</v>
      </c>
      <c r="L66" s="54">
        <v>0.12</v>
      </c>
      <c r="M66" s="68">
        <v>17000</v>
      </c>
      <c r="N66" s="68">
        <v>17379.669999999998</v>
      </c>
      <c r="O66" s="68">
        <f t="shared" si="19"/>
        <v>18006.027397260274</v>
      </c>
      <c r="P66" s="69">
        <f t="shared" si="26"/>
        <v>0.16250000000000001</v>
      </c>
      <c r="Q66" s="61">
        <f t="shared" si="20"/>
        <v>17185.926985180216</v>
      </c>
      <c r="R66" s="61">
        <f t="shared" si="9"/>
        <v>-193.74301481978182</v>
      </c>
      <c r="S66" s="61">
        <f t="shared" si="21"/>
        <v>-4998.279167828141</v>
      </c>
      <c r="T66" s="69" cm="1">
        <f t="array" ref="T66">nelson(K66,NSS!$G$3,NSS!$G$4,NSS!$G$5,NSS!$G$6,NSS!$G$7,NSS!$G$8)</f>
        <v>4.1979711576011186E-2</v>
      </c>
      <c r="U66" s="69">
        <f t="shared" si="22"/>
        <v>0.16217971157601119</v>
      </c>
      <c r="V66" s="68">
        <f t="shared" si="10"/>
        <v>17775.015147847284</v>
      </c>
      <c r="W66" s="68">
        <f t="shared" si="23"/>
        <v>17145.183810729781</v>
      </c>
      <c r="X66" s="68">
        <f t="shared" si="11"/>
        <v>395.34514784728526</v>
      </c>
      <c r="Y66" s="68">
        <f t="shared" si="12"/>
        <v>-629.8313371175027</v>
      </c>
      <c r="Z66" s="61">
        <f t="shared" si="24"/>
        <v>-234.48618927021744</v>
      </c>
      <c r="AA66" s="90">
        <f t="shared" si="25"/>
        <v>-6049.3919538877044</v>
      </c>
      <c r="AB66" s="61"/>
    </row>
    <row r="67" spans="2:28" x14ac:dyDescent="0.3">
      <c r="B67" s="89" t="s">
        <v>146</v>
      </c>
      <c r="C67" s="60" t="s">
        <v>147</v>
      </c>
      <c r="D67" s="52" t="s">
        <v>35</v>
      </c>
      <c r="E67" s="60" t="s">
        <v>36</v>
      </c>
      <c r="F67" s="65">
        <v>45770</v>
      </c>
      <c r="G67" s="65">
        <v>45590</v>
      </c>
      <c r="H67" s="65">
        <v>45657</v>
      </c>
      <c r="I67" s="66">
        <f t="shared" si="16"/>
        <v>180</v>
      </c>
      <c r="J67" s="60">
        <f t="shared" si="17"/>
        <v>113</v>
      </c>
      <c r="K67" s="67">
        <f t="shared" si="18"/>
        <v>0.30958904109589042</v>
      </c>
      <c r="L67" s="54">
        <v>0.12</v>
      </c>
      <c r="M67" s="68">
        <v>25400</v>
      </c>
      <c r="N67" s="68">
        <v>25967.27</v>
      </c>
      <c r="O67" s="68">
        <f t="shared" si="19"/>
        <v>26903.123287671231</v>
      </c>
      <c r="P67" s="69">
        <f t="shared" si="26"/>
        <v>0.16250000000000001</v>
      </c>
      <c r="Q67" s="61">
        <f t="shared" si="20"/>
        <v>25677.796789622204</v>
      </c>
      <c r="R67" s="61">
        <f t="shared" si="9"/>
        <v>-289.47321037779693</v>
      </c>
      <c r="S67" s="61">
        <f t="shared" si="21"/>
        <v>-7467.9746179315944</v>
      </c>
      <c r="T67" s="69" cm="1">
        <f t="array" ref="T67">nelson(K67,NSS!$G$3,NSS!$G$4,NSS!$G$5,NSS!$G$6,NSS!$G$7,NSS!$G$8)</f>
        <v>4.1979711576011186E-2</v>
      </c>
      <c r="U67" s="69">
        <f t="shared" si="22"/>
        <v>0.16217971157601119</v>
      </c>
      <c r="V67" s="68">
        <f t="shared" si="10"/>
        <v>26557.963809136527</v>
      </c>
      <c r="W67" s="68">
        <f t="shared" si="23"/>
        <v>25616.921693678614</v>
      </c>
      <c r="X67" s="68">
        <f t="shared" si="11"/>
        <v>590.6938091365264</v>
      </c>
      <c r="Y67" s="68">
        <f t="shared" si="12"/>
        <v>-941.04211545791259</v>
      </c>
      <c r="Z67" s="61">
        <f t="shared" si="24"/>
        <v>-350.34830632138619</v>
      </c>
      <c r="AA67" s="90">
        <f t="shared" si="25"/>
        <v>-9038.460780632282</v>
      </c>
      <c r="AB67" s="61"/>
    </row>
    <row r="68" spans="2:28" x14ac:dyDescent="0.3">
      <c r="B68" s="89" t="s">
        <v>150</v>
      </c>
      <c r="C68" s="60" t="s">
        <v>151</v>
      </c>
      <c r="D68" s="52" t="s">
        <v>35</v>
      </c>
      <c r="E68" s="60" t="s">
        <v>36</v>
      </c>
      <c r="F68" s="65">
        <v>45770</v>
      </c>
      <c r="G68" s="65">
        <v>45590</v>
      </c>
      <c r="H68" s="65">
        <v>45657</v>
      </c>
      <c r="I68" s="66">
        <f t="shared" si="16"/>
        <v>180</v>
      </c>
      <c r="J68" s="60">
        <f t="shared" si="17"/>
        <v>113</v>
      </c>
      <c r="K68" s="67">
        <f t="shared" si="18"/>
        <v>0.30958904109589042</v>
      </c>
      <c r="L68" s="54">
        <v>0.12</v>
      </c>
      <c r="M68" s="68">
        <v>8300</v>
      </c>
      <c r="N68" s="68">
        <v>8485.3700000000008</v>
      </c>
      <c r="O68" s="68">
        <f t="shared" si="19"/>
        <v>8791.17808219178</v>
      </c>
      <c r="P68" s="69">
        <f t="shared" si="26"/>
        <v>0.16250000000000001</v>
      </c>
      <c r="Q68" s="61">
        <f t="shared" si="20"/>
        <v>8390.7761162938696</v>
      </c>
      <c r="R68" s="61">
        <f t="shared" si="9"/>
        <v>-94.593883706131237</v>
      </c>
      <c r="S68" s="61">
        <f t="shared" si="21"/>
        <v>-2440.3803087926267</v>
      </c>
      <c r="T68" s="69" cm="1">
        <f t="array" ref="T68">nelson(K68,NSS!$G$3,NSS!$G$4,NSS!$G$5,NSS!$G$6,NSS!$G$7,NSS!$G$8)</f>
        <v>4.1979711576011186E-2</v>
      </c>
      <c r="U68" s="69">
        <f t="shared" si="22"/>
        <v>0.16217971157601119</v>
      </c>
      <c r="V68" s="68">
        <f t="shared" si="10"/>
        <v>8678.3897486548503</v>
      </c>
      <c r="W68" s="68">
        <f t="shared" si="23"/>
        <v>8370.8838605327746</v>
      </c>
      <c r="X68" s="68">
        <f t="shared" si="11"/>
        <v>193.01974865484954</v>
      </c>
      <c r="Y68" s="68">
        <f t="shared" si="12"/>
        <v>-307.5058881220757</v>
      </c>
      <c r="Z68" s="61">
        <f t="shared" si="24"/>
        <v>-114.48613946722617</v>
      </c>
      <c r="AA68" s="90">
        <f t="shared" si="25"/>
        <v>-2953.5706690452344</v>
      </c>
      <c r="AB68" s="61"/>
    </row>
    <row r="69" spans="2:28" x14ac:dyDescent="0.3">
      <c r="B69" s="89" t="s">
        <v>38</v>
      </c>
      <c r="C69" s="60" t="s">
        <v>39</v>
      </c>
      <c r="D69" s="52" t="s">
        <v>44</v>
      </c>
      <c r="E69" s="60" t="s">
        <v>45</v>
      </c>
      <c r="F69" s="65">
        <v>45789</v>
      </c>
      <c r="G69" s="65">
        <v>45607</v>
      </c>
      <c r="H69" s="65">
        <v>45657</v>
      </c>
      <c r="I69" s="66">
        <f t="shared" si="16"/>
        <v>182</v>
      </c>
      <c r="J69" s="60">
        <f t="shared" si="17"/>
        <v>132</v>
      </c>
      <c r="K69" s="67">
        <f t="shared" si="18"/>
        <v>0.36164383561643837</v>
      </c>
      <c r="L69" s="54">
        <v>0.2</v>
      </c>
      <c r="M69" s="68">
        <v>4000</v>
      </c>
      <c r="N69" s="68">
        <v>4111.1099999999997</v>
      </c>
      <c r="O69" s="68">
        <f t="shared" si="19"/>
        <v>4398.9041095890407</v>
      </c>
      <c r="P69" s="69">
        <f t="shared" ref="P69:P88" si="27">+$C$99+$C$104</f>
        <v>0.16209999999999999</v>
      </c>
      <c r="Q69" s="61">
        <f t="shared" si="20"/>
        <v>4166.2908510379875</v>
      </c>
      <c r="R69" s="61">
        <f t="shared" si="9"/>
        <v>55.18085103798785</v>
      </c>
      <c r="S69" s="61">
        <f t="shared" si="21"/>
        <v>1423.5831855035296</v>
      </c>
      <c r="T69" s="69" cm="1">
        <f t="array" ref="T69">nelson(K69,NSS!$G$3,NSS!$G$4,NSS!$G$5,NSS!$G$6,NSS!$G$7,NSS!$G$8)</f>
        <v>4.1821433610416375E-2</v>
      </c>
      <c r="U69" s="69">
        <f t="shared" si="22"/>
        <v>0.16202143361041638</v>
      </c>
      <c r="V69" s="68">
        <f t="shared" si="10"/>
        <v>4333.3642987195026</v>
      </c>
      <c r="W69" s="68">
        <f t="shared" si="23"/>
        <v>4155.4211440704448</v>
      </c>
      <c r="X69" s="68">
        <f t="shared" si="11"/>
        <v>222.25429871950291</v>
      </c>
      <c r="Y69" s="68">
        <f t="shared" si="12"/>
        <v>-177.94315464905776</v>
      </c>
      <c r="Z69" s="61">
        <f t="shared" si="24"/>
        <v>44.311144070445152</v>
      </c>
      <c r="AA69" s="90">
        <f t="shared" si="25"/>
        <v>1143.1610503013792</v>
      </c>
      <c r="AB69" s="61"/>
    </row>
    <row r="70" spans="2:28" x14ac:dyDescent="0.3">
      <c r="B70" s="89" t="s">
        <v>52</v>
      </c>
      <c r="C70" s="60" t="s">
        <v>53</v>
      </c>
      <c r="D70" s="52" t="s">
        <v>44</v>
      </c>
      <c r="E70" s="60" t="s">
        <v>45</v>
      </c>
      <c r="F70" s="65">
        <v>45789</v>
      </c>
      <c r="G70" s="65">
        <v>45607</v>
      </c>
      <c r="H70" s="65">
        <v>45657</v>
      </c>
      <c r="I70" s="66">
        <f t="shared" si="16"/>
        <v>182</v>
      </c>
      <c r="J70" s="60">
        <f t="shared" si="17"/>
        <v>132</v>
      </c>
      <c r="K70" s="67">
        <f t="shared" si="18"/>
        <v>0.36164383561643837</v>
      </c>
      <c r="L70" s="54">
        <v>0.2</v>
      </c>
      <c r="M70" s="68">
        <v>90000</v>
      </c>
      <c r="N70" s="68">
        <v>92500</v>
      </c>
      <c r="O70" s="68">
        <f t="shared" si="19"/>
        <v>98975.34246575342</v>
      </c>
      <c r="P70" s="69">
        <f t="shared" si="27"/>
        <v>0.16209999999999999</v>
      </c>
      <c r="Q70" s="61">
        <f t="shared" si="20"/>
        <v>93741.544148354733</v>
      </c>
      <c r="R70" s="61">
        <f t="shared" si="9"/>
        <v>1241.5441483547329</v>
      </c>
      <c r="S70" s="61">
        <f t="shared" si="21"/>
        <v>32029.976711329578</v>
      </c>
      <c r="T70" s="69" cm="1">
        <f t="array" ref="T70">nelson(K70,NSS!$G$3,NSS!$G$4,NSS!$G$5,NSS!$G$6,NSS!$G$7,NSS!$G$8)</f>
        <v>4.1821433610416375E-2</v>
      </c>
      <c r="U70" s="69">
        <f t="shared" si="22"/>
        <v>0.16202143361041638</v>
      </c>
      <c r="V70" s="68">
        <f t="shared" si="10"/>
        <v>97500.696721188811</v>
      </c>
      <c r="W70" s="68">
        <f t="shared" si="23"/>
        <v>93496.975741585004</v>
      </c>
      <c r="X70" s="68">
        <f t="shared" si="11"/>
        <v>5000.6967211888114</v>
      </c>
      <c r="Y70" s="68">
        <f t="shared" si="12"/>
        <v>-4003.7209796038078</v>
      </c>
      <c r="Z70" s="61">
        <f t="shared" si="24"/>
        <v>996.97574158500356</v>
      </c>
      <c r="AA70" s="90">
        <f t="shared" si="25"/>
        <v>25720.478669280714</v>
      </c>
      <c r="AB70" s="61"/>
    </row>
    <row r="71" spans="2:28" x14ac:dyDescent="0.3">
      <c r="B71" s="89" t="s">
        <v>65</v>
      </c>
      <c r="C71" s="60" t="s">
        <v>66</v>
      </c>
      <c r="D71" s="52" t="s">
        <v>44</v>
      </c>
      <c r="E71" s="60" t="s">
        <v>45</v>
      </c>
      <c r="F71" s="65">
        <v>45789</v>
      </c>
      <c r="G71" s="65">
        <v>45607</v>
      </c>
      <c r="H71" s="65">
        <v>45657</v>
      </c>
      <c r="I71" s="66">
        <f t="shared" si="16"/>
        <v>182</v>
      </c>
      <c r="J71" s="60">
        <f t="shared" si="17"/>
        <v>132</v>
      </c>
      <c r="K71" s="67">
        <f t="shared" si="18"/>
        <v>0.36164383561643837</v>
      </c>
      <c r="L71" s="54">
        <v>0.2</v>
      </c>
      <c r="M71" s="68">
        <v>20000</v>
      </c>
      <c r="N71" s="68">
        <v>20555.560000000001</v>
      </c>
      <c r="O71" s="68">
        <f t="shared" si="19"/>
        <v>21994.520547945205</v>
      </c>
      <c r="P71" s="69">
        <f t="shared" si="27"/>
        <v>0.16209999999999999</v>
      </c>
      <c r="Q71" s="61">
        <f t="shared" si="20"/>
        <v>20831.454255189939</v>
      </c>
      <c r="R71" s="61">
        <f t="shared" si="9"/>
        <v>275.89425518993812</v>
      </c>
      <c r="S71" s="61">
        <f t="shared" si="21"/>
        <v>7117.6579425176187</v>
      </c>
      <c r="T71" s="69" cm="1">
        <f t="array" ref="T71">nelson(K71,NSS!$G$3,NSS!$G$4,NSS!$G$5,NSS!$G$6,NSS!$G$7,NSS!$G$8)</f>
        <v>4.1821433610416375E-2</v>
      </c>
      <c r="U71" s="69">
        <f t="shared" si="22"/>
        <v>0.16202143361041638</v>
      </c>
      <c r="V71" s="68">
        <f t="shared" si="10"/>
        <v>21666.821493597516</v>
      </c>
      <c r="W71" s="68">
        <f t="shared" si="23"/>
        <v>20777.105720352225</v>
      </c>
      <c r="X71" s="68">
        <f t="shared" si="11"/>
        <v>1111.2614935975143</v>
      </c>
      <c r="Y71" s="68">
        <f t="shared" si="12"/>
        <v>-889.71577324529062</v>
      </c>
      <c r="Z71" s="61">
        <f t="shared" si="24"/>
        <v>221.54572035222373</v>
      </c>
      <c r="AA71" s="90">
        <f t="shared" si="25"/>
        <v>5715.5472665068437</v>
      </c>
      <c r="AB71" s="61"/>
    </row>
    <row r="72" spans="2:28" x14ac:dyDescent="0.3">
      <c r="B72" s="89" t="s">
        <v>74</v>
      </c>
      <c r="C72" s="60" t="s">
        <v>75</v>
      </c>
      <c r="D72" s="52" t="s">
        <v>44</v>
      </c>
      <c r="E72" s="60" t="s">
        <v>45</v>
      </c>
      <c r="F72" s="65">
        <v>45789</v>
      </c>
      <c r="G72" s="65">
        <v>45607</v>
      </c>
      <c r="H72" s="65">
        <v>45657</v>
      </c>
      <c r="I72" s="66">
        <f t="shared" si="16"/>
        <v>182</v>
      </c>
      <c r="J72" s="60">
        <f t="shared" si="17"/>
        <v>132</v>
      </c>
      <c r="K72" s="67">
        <f t="shared" si="18"/>
        <v>0.36164383561643837</v>
      </c>
      <c r="L72" s="54">
        <v>0.2</v>
      </c>
      <c r="M72" s="68">
        <v>20000</v>
      </c>
      <c r="N72" s="68">
        <v>20555.560000000001</v>
      </c>
      <c r="O72" s="68">
        <f t="shared" si="19"/>
        <v>21994.520547945205</v>
      </c>
      <c r="P72" s="69">
        <f t="shared" si="27"/>
        <v>0.16209999999999999</v>
      </c>
      <c r="Q72" s="61">
        <f t="shared" si="20"/>
        <v>20831.454255189939</v>
      </c>
      <c r="R72" s="61">
        <f t="shared" si="9"/>
        <v>275.89425518993812</v>
      </c>
      <c r="S72" s="61">
        <f t="shared" si="21"/>
        <v>7117.6579425176187</v>
      </c>
      <c r="T72" s="69" cm="1">
        <f t="array" ref="T72">nelson(K72,NSS!$G$3,NSS!$G$4,NSS!$G$5,NSS!$G$6,NSS!$G$7,NSS!$G$8)</f>
        <v>4.1821433610416375E-2</v>
      </c>
      <c r="U72" s="69">
        <f t="shared" si="22"/>
        <v>0.16202143361041638</v>
      </c>
      <c r="V72" s="68">
        <f t="shared" si="10"/>
        <v>21666.821493597516</v>
      </c>
      <c r="W72" s="68">
        <f t="shared" si="23"/>
        <v>20777.105720352225</v>
      </c>
      <c r="X72" s="68">
        <f t="shared" si="11"/>
        <v>1111.2614935975143</v>
      </c>
      <c r="Y72" s="68">
        <f t="shared" si="12"/>
        <v>-889.71577324529062</v>
      </c>
      <c r="Z72" s="61">
        <f t="shared" si="24"/>
        <v>221.54572035222373</v>
      </c>
      <c r="AA72" s="90">
        <f t="shared" si="25"/>
        <v>5715.5472665068437</v>
      </c>
      <c r="AB72" s="61"/>
    </row>
    <row r="73" spans="2:28" x14ac:dyDescent="0.3">
      <c r="B73" s="89" t="s">
        <v>76</v>
      </c>
      <c r="C73" s="60" t="s">
        <v>77</v>
      </c>
      <c r="D73" s="52" t="s">
        <v>44</v>
      </c>
      <c r="E73" s="60" t="s">
        <v>45</v>
      </c>
      <c r="F73" s="65">
        <v>45789</v>
      </c>
      <c r="G73" s="65">
        <v>45607</v>
      </c>
      <c r="H73" s="65">
        <v>45657</v>
      </c>
      <c r="I73" s="66">
        <f t="shared" si="16"/>
        <v>182</v>
      </c>
      <c r="J73" s="60">
        <f t="shared" si="17"/>
        <v>132</v>
      </c>
      <c r="K73" s="67">
        <f t="shared" si="18"/>
        <v>0.36164383561643837</v>
      </c>
      <c r="L73" s="54">
        <v>0.2</v>
      </c>
      <c r="M73" s="68">
        <v>51000</v>
      </c>
      <c r="N73" s="68">
        <v>52416.67</v>
      </c>
      <c r="O73" s="68">
        <f t="shared" si="19"/>
        <v>56086.027397260274</v>
      </c>
      <c r="P73" s="69">
        <f t="shared" si="27"/>
        <v>0.16209999999999999</v>
      </c>
      <c r="Q73" s="61">
        <f t="shared" si="20"/>
        <v>53120.208350734349</v>
      </c>
      <c r="R73" s="61">
        <f t="shared" si="9"/>
        <v>703.53835073435039</v>
      </c>
      <c r="S73" s="61">
        <f t="shared" si="21"/>
        <v>18150.23414142014</v>
      </c>
      <c r="T73" s="69" cm="1">
        <f t="array" ref="T73">nelson(K73,NSS!$G$3,NSS!$G$4,NSS!$G$5,NSS!$G$6,NSS!$G$7,NSS!$G$8)</f>
        <v>4.1821433610416375E-2</v>
      </c>
      <c r="U73" s="69">
        <f t="shared" si="22"/>
        <v>0.16202143361041638</v>
      </c>
      <c r="V73" s="68">
        <f t="shared" si="10"/>
        <v>55250.394808673664</v>
      </c>
      <c r="W73" s="68">
        <f t="shared" si="23"/>
        <v>52981.619586898174</v>
      </c>
      <c r="X73" s="68">
        <f t="shared" si="11"/>
        <v>2833.7248086736654</v>
      </c>
      <c r="Y73" s="68">
        <f t="shared" si="12"/>
        <v>-2268.7752217754896</v>
      </c>
      <c r="Z73" s="61">
        <f t="shared" si="24"/>
        <v>564.94958689817577</v>
      </c>
      <c r="AA73" s="90">
        <f t="shared" si="25"/>
        <v>14574.851917592589</v>
      </c>
      <c r="AB73" s="61"/>
    </row>
    <row r="74" spans="2:28" x14ac:dyDescent="0.3">
      <c r="B74" s="89" t="s">
        <v>107</v>
      </c>
      <c r="C74" s="60" t="s">
        <v>108</v>
      </c>
      <c r="D74" s="52" t="s">
        <v>44</v>
      </c>
      <c r="E74" s="60" t="s">
        <v>45</v>
      </c>
      <c r="F74" s="65">
        <v>45789</v>
      </c>
      <c r="G74" s="65">
        <v>45607</v>
      </c>
      <c r="H74" s="65">
        <v>45657</v>
      </c>
      <c r="I74" s="66">
        <f t="shared" si="16"/>
        <v>182</v>
      </c>
      <c r="J74" s="60">
        <f t="shared" si="17"/>
        <v>132</v>
      </c>
      <c r="K74" s="67">
        <f t="shared" si="18"/>
        <v>0.36164383561643837</v>
      </c>
      <c r="L74" s="54">
        <v>0.2</v>
      </c>
      <c r="M74" s="68">
        <v>79000</v>
      </c>
      <c r="N74" s="68">
        <v>81194.44</v>
      </c>
      <c r="O74" s="68">
        <f t="shared" si="19"/>
        <v>86878.356164383556</v>
      </c>
      <c r="P74" s="69">
        <f t="shared" si="27"/>
        <v>0.16209999999999999</v>
      </c>
      <c r="Q74" s="61">
        <f t="shared" si="20"/>
        <v>82284.244308000256</v>
      </c>
      <c r="R74" s="61">
        <f t="shared" si="9"/>
        <v>1089.8043080002535</v>
      </c>
      <c r="S74" s="61">
        <f t="shared" si="21"/>
        <v>28115.316439944541</v>
      </c>
      <c r="T74" s="69" cm="1">
        <f t="array" ref="T74">nelson(K74,NSS!$G$3,NSS!$G$4,NSS!$G$5,NSS!$G$6,NSS!$G$7,NSS!$G$8)</f>
        <v>4.1821433610416375E-2</v>
      </c>
      <c r="U74" s="69">
        <f t="shared" si="22"/>
        <v>0.16202143361041638</v>
      </c>
      <c r="V74" s="68">
        <f t="shared" si="10"/>
        <v>85583.944899710186</v>
      </c>
      <c r="W74" s="68">
        <f t="shared" si="23"/>
        <v>82069.567595391287</v>
      </c>
      <c r="X74" s="68">
        <f t="shared" si="11"/>
        <v>4389.504899710184</v>
      </c>
      <c r="Y74" s="68">
        <f t="shared" si="12"/>
        <v>-3514.3773043188994</v>
      </c>
      <c r="Z74" s="61">
        <f t="shared" si="24"/>
        <v>875.12759539128456</v>
      </c>
      <c r="AA74" s="90">
        <f t="shared" si="25"/>
        <v>22576.979269702057</v>
      </c>
      <c r="AB74" s="61"/>
    </row>
    <row r="75" spans="2:28" x14ac:dyDescent="0.3">
      <c r="B75" s="89" t="s">
        <v>138</v>
      </c>
      <c r="C75" s="60" t="s">
        <v>139</v>
      </c>
      <c r="D75" s="52" t="s">
        <v>44</v>
      </c>
      <c r="E75" s="60" t="s">
        <v>45</v>
      </c>
      <c r="F75" s="65">
        <v>45789</v>
      </c>
      <c r="G75" s="65">
        <v>45607</v>
      </c>
      <c r="H75" s="65">
        <v>45657</v>
      </c>
      <c r="I75" s="66">
        <f t="shared" ref="I75:I95" si="28">F75-G75</f>
        <v>182</v>
      </c>
      <c r="J75" s="60">
        <f t="shared" ref="J75:J95" si="29">F75-$H$11</f>
        <v>132</v>
      </c>
      <c r="K75" s="67">
        <f t="shared" ref="K75:K95" si="30">+J75/365</f>
        <v>0.36164383561643837</v>
      </c>
      <c r="L75" s="54">
        <v>0.2</v>
      </c>
      <c r="M75" s="68">
        <v>9000</v>
      </c>
      <c r="N75" s="68">
        <v>9250</v>
      </c>
      <c r="O75" s="68">
        <f t="shared" ref="O75:O94" si="31">+(M75*L75*I75/365)+M75</f>
        <v>9897.534246575342</v>
      </c>
      <c r="P75" s="69">
        <f t="shared" si="27"/>
        <v>0.16209999999999999</v>
      </c>
      <c r="Q75" s="61">
        <f t="shared" ref="Q75:Q94" si="32">+(1/(1+P75)^(K75))*O75</f>
        <v>9374.1544148354733</v>
      </c>
      <c r="R75" s="61">
        <f t="shared" si="9"/>
        <v>124.15441483547329</v>
      </c>
      <c r="S75" s="61">
        <f t="shared" ref="S75:S96" si="33">+R75*$C$100</f>
        <v>3202.9976711329577</v>
      </c>
      <c r="T75" s="69" cm="1">
        <f t="array" ref="T75">nelson(K75,NSS!$G$3,NSS!$G$4,NSS!$G$5,NSS!$G$6,NSS!$G$7,NSS!$G$8)</f>
        <v>4.1821433610416375E-2</v>
      </c>
      <c r="U75" s="69">
        <f t="shared" ref="U75" si="34">T75+$C$99</f>
        <v>0.16202143361041638</v>
      </c>
      <c r="V75" s="68">
        <f t="shared" si="10"/>
        <v>9750.0696721188815</v>
      </c>
      <c r="W75" s="68">
        <f t="shared" ref="W75:W94" si="35">O75/((T75+$C$99)*K75+1)</f>
        <v>9349.6975741585011</v>
      </c>
      <c r="X75" s="68">
        <f t="shared" si="11"/>
        <v>500.0696721188815</v>
      </c>
      <c r="Y75" s="68">
        <f t="shared" si="12"/>
        <v>-400.37209796038042</v>
      </c>
      <c r="Z75" s="61">
        <f t="shared" ref="Z75:Z94" si="36">+W75-N75</f>
        <v>99.697574158501084</v>
      </c>
      <c r="AA75" s="90">
        <f t="shared" ref="AA75:AA95" si="37">+Z75*$C$100</f>
        <v>2572.0478669280901</v>
      </c>
      <c r="AB75" s="61"/>
    </row>
    <row r="76" spans="2:28" x14ac:dyDescent="0.3">
      <c r="B76" s="89" t="s">
        <v>142</v>
      </c>
      <c r="C76" s="60" t="s">
        <v>143</v>
      </c>
      <c r="D76" s="52" t="s">
        <v>44</v>
      </c>
      <c r="E76" s="60" t="s">
        <v>45</v>
      </c>
      <c r="F76" s="65">
        <v>45789</v>
      </c>
      <c r="G76" s="65">
        <v>45607</v>
      </c>
      <c r="H76" s="65">
        <v>45657</v>
      </c>
      <c r="I76" s="66">
        <f t="shared" si="28"/>
        <v>182</v>
      </c>
      <c r="J76" s="60">
        <f t="shared" si="29"/>
        <v>132</v>
      </c>
      <c r="K76" s="67">
        <f t="shared" si="30"/>
        <v>0.36164383561643837</v>
      </c>
      <c r="L76" s="54">
        <v>0.2</v>
      </c>
      <c r="M76" s="68">
        <v>4000</v>
      </c>
      <c r="N76" s="68">
        <v>4111.1099999999997</v>
      </c>
      <c r="O76" s="68">
        <f t="shared" si="31"/>
        <v>4398.9041095890407</v>
      </c>
      <c r="P76" s="69">
        <f t="shared" si="27"/>
        <v>0.16209999999999999</v>
      </c>
      <c r="Q76" s="61">
        <f t="shared" si="32"/>
        <v>4166.2908510379875</v>
      </c>
      <c r="R76" s="61">
        <f t="shared" ref="R76:R96" si="38">+Q76-N76</f>
        <v>55.18085103798785</v>
      </c>
      <c r="S76" s="61">
        <f t="shared" si="33"/>
        <v>1423.5831855035296</v>
      </c>
      <c r="T76" s="69" cm="1">
        <f t="array" ref="T76">nelson(K76,NSS!$G$3,NSS!$G$4,NSS!$G$5,NSS!$G$6,NSS!$G$7,NSS!$G$8)</f>
        <v>4.1821433610416375E-2</v>
      </c>
      <c r="U76" s="69">
        <f t="shared" ref="U76:U94" si="39">T76+$C$99</f>
        <v>0.16202143361041638</v>
      </c>
      <c r="V76" s="68">
        <f t="shared" ref="V76:V95" si="40">O76/((T76)*K76+1)</f>
        <v>4333.3642987195026</v>
      </c>
      <c r="W76" s="68">
        <f t="shared" si="35"/>
        <v>4155.4211440704448</v>
      </c>
      <c r="X76" s="68">
        <f t="shared" ref="X76:X94" si="41">V76-N76</f>
        <v>222.25429871950291</v>
      </c>
      <c r="Y76" s="68">
        <f t="shared" ref="Y76:Y94" si="42">W76-V76</f>
        <v>-177.94315464905776</v>
      </c>
      <c r="Z76" s="61">
        <f t="shared" si="36"/>
        <v>44.311144070445152</v>
      </c>
      <c r="AA76" s="90">
        <f t="shared" si="37"/>
        <v>1143.1610503013792</v>
      </c>
      <c r="AB76" s="61"/>
    </row>
    <row r="77" spans="2:28" x14ac:dyDescent="0.3">
      <c r="B77" s="89" t="s">
        <v>144</v>
      </c>
      <c r="C77" s="60" t="s">
        <v>145</v>
      </c>
      <c r="D77" s="52" t="s">
        <v>44</v>
      </c>
      <c r="E77" s="60" t="s">
        <v>45</v>
      </c>
      <c r="F77" s="65">
        <v>45789</v>
      </c>
      <c r="G77" s="65">
        <v>45607</v>
      </c>
      <c r="H77" s="65">
        <v>45657</v>
      </c>
      <c r="I77" s="66">
        <f t="shared" si="28"/>
        <v>182</v>
      </c>
      <c r="J77" s="60">
        <f t="shared" si="29"/>
        <v>132</v>
      </c>
      <c r="K77" s="67">
        <f t="shared" si="30"/>
        <v>0.36164383561643837</v>
      </c>
      <c r="L77" s="54">
        <v>0.2</v>
      </c>
      <c r="M77" s="68">
        <v>23000</v>
      </c>
      <c r="N77" s="68">
        <v>23638.89</v>
      </c>
      <c r="O77" s="68">
        <f t="shared" si="31"/>
        <v>25293.698630136987</v>
      </c>
      <c r="P77" s="69">
        <f t="shared" si="27"/>
        <v>0.16209999999999999</v>
      </c>
      <c r="Q77" s="61">
        <f t="shared" si="32"/>
        <v>23956.172393468434</v>
      </c>
      <c r="R77" s="61">
        <f t="shared" si="38"/>
        <v>317.28239346843475</v>
      </c>
      <c r="S77" s="61">
        <f t="shared" si="33"/>
        <v>8185.4098278954143</v>
      </c>
      <c r="T77" s="69" cm="1">
        <f t="array" ref="T77">nelson(K77,NSS!$G$3,NSS!$G$4,NSS!$G$5,NSS!$G$6,NSS!$G$7,NSS!$G$8)</f>
        <v>4.1821433610416375E-2</v>
      </c>
      <c r="U77" s="69">
        <f t="shared" si="39"/>
        <v>0.16202143361041638</v>
      </c>
      <c r="V77" s="68">
        <f t="shared" si="40"/>
        <v>24916.844717637145</v>
      </c>
      <c r="W77" s="68">
        <f t="shared" si="35"/>
        <v>23893.671578405058</v>
      </c>
      <c r="X77" s="68">
        <f t="shared" si="41"/>
        <v>1277.9547176371452</v>
      </c>
      <c r="Y77" s="68">
        <f t="shared" si="42"/>
        <v>-1023.1731392320871</v>
      </c>
      <c r="Z77" s="61">
        <f t="shared" si="36"/>
        <v>254.7815784050581</v>
      </c>
      <c r="AA77" s="90">
        <f t="shared" si="37"/>
        <v>6572.9825504828914</v>
      </c>
      <c r="AB77" s="61"/>
    </row>
    <row r="78" spans="2:28" x14ac:dyDescent="0.3">
      <c r="B78" s="89" t="s">
        <v>52</v>
      </c>
      <c r="C78" s="60" t="s">
        <v>53</v>
      </c>
      <c r="D78" s="52" t="s">
        <v>63</v>
      </c>
      <c r="E78" s="60" t="s">
        <v>64</v>
      </c>
      <c r="F78" s="65">
        <v>45793</v>
      </c>
      <c r="G78" s="65">
        <v>45610</v>
      </c>
      <c r="H78" s="65">
        <v>45657</v>
      </c>
      <c r="I78" s="66">
        <f t="shared" si="28"/>
        <v>183</v>
      </c>
      <c r="J78" s="60">
        <f t="shared" si="29"/>
        <v>136</v>
      </c>
      <c r="K78" s="67">
        <f t="shared" si="30"/>
        <v>0.37260273972602742</v>
      </c>
      <c r="L78" s="54">
        <v>0.1</v>
      </c>
      <c r="M78" s="68">
        <v>20000</v>
      </c>
      <c r="N78" s="68">
        <v>20261.11</v>
      </c>
      <c r="O78" s="68">
        <f t="shared" si="31"/>
        <v>21002.739726027397</v>
      </c>
      <c r="P78" s="69">
        <f t="shared" si="27"/>
        <v>0.16209999999999999</v>
      </c>
      <c r="Q78" s="61">
        <f t="shared" si="32"/>
        <v>19859.396336665668</v>
      </c>
      <c r="R78" s="61">
        <f t="shared" si="38"/>
        <v>-401.71366333433252</v>
      </c>
      <c r="S78" s="61">
        <f t="shared" si="33"/>
        <v>-10363.609943530779</v>
      </c>
      <c r="T78" s="69" cm="1">
        <f t="array" ref="T78">nelson(K78,NSS!$G$3,NSS!$G$4,NSS!$G$5,NSS!$G$6,NSS!$G$7,NSS!$G$8)</f>
        <v>4.1784357219679352E-2</v>
      </c>
      <c r="U78" s="69">
        <f t="shared" si="39"/>
        <v>0.16198435721967935</v>
      </c>
      <c r="V78" s="68">
        <f t="shared" si="40"/>
        <v>20680.761651481655</v>
      </c>
      <c r="W78" s="68">
        <f t="shared" si="35"/>
        <v>19807.256604923314</v>
      </c>
      <c r="X78" s="68">
        <f t="shared" si="41"/>
        <v>419.65165148165397</v>
      </c>
      <c r="Y78" s="68">
        <f t="shared" si="42"/>
        <v>-873.50504655834084</v>
      </c>
      <c r="Z78" s="61">
        <f t="shared" si="36"/>
        <v>-453.85339507668687</v>
      </c>
      <c r="AA78" s="90">
        <f t="shared" si="37"/>
        <v>-11708.736812885907</v>
      </c>
      <c r="AB78" s="61"/>
    </row>
    <row r="79" spans="2:28" x14ac:dyDescent="0.3">
      <c r="B79" s="89" t="s">
        <v>76</v>
      </c>
      <c r="C79" s="60" t="s">
        <v>77</v>
      </c>
      <c r="D79" s="52" t="s">
        <v>63</v>
      </c>
      <c r="E79" s="60" t="s">
        <v>64</v>
      </c>
      <c r="F79" s="65">
        <v>45793</v>
      </c>
      <c r="G79" s="65">
        <v>45610</v>
      </c>
      <c r="H79" s="65">
        <v>45657</v>
      </c>
      <c r="I79" s="66">
        <f t="shared" si="28"/>
        <v>183</v>
      </c>
      <c r="J79" s="60">
        <f t="shared" si="29"/>
        <v>136</v>
      </c>
      <c r="K79" s="67">
        <f t="shared" si="30"/>
        <v>0.37260273972602742</v>
      </c>
      <c r="L79" s="54">
        <v>0.1</v>
      </c>
      <c r="M79" s="68">
        <v>5000</v>
      </c>
      <c r="N79" s="68">
        <v>5065.28</v>
      </c>
      <c r="O79" s="68">
        <f t="shared" si="31"/>
        <v>5250.6849315068494</v>
      </c>
      <c r="P79" s="69">
        <f t="shared" si="27"/>
        <v>0.16209999999999999</v>
      </c>
      <c r="Q79" s="61">
        <f t="shared" si="32"/>
        <v>4964.849084166417</v>
      </c>
      <c r="R79" s="61">
        <f t="shared" si="38"/>
        <v>-100.43091583358273</v>
      </c>
      <c r="S79" s="61">
        <f t="shared" si="33"/>
        <v>-2590.9669821326843</v>
      </c>
      <c r="T79" s="69" cm="1">
        <f t="array" ref="T79">nelson(K79,NSS!$G$3,NSS!$G$4,NSS!$G$5,NSS!$G$6,NSS!$G$7,NSS!$G$8)</f>
        <v>4.1784357219679352E-2</v>
      </c>
      <c r="U79" s="69">
        <f t="shared" si="39"/>
        <v>0.16198435721967935</v>
      </c>
      <c r="V79" s="68">
        <f t="shared" si="40"/>
        <v>5170.1904128704136</v>
      </c>
      <c r="W79" s="68">
        <f t="shared" si="35"/>
        <v>4951.8141512308284</v>
      </c>
      <c r="X79" s="68">
        <f t="shared" si="41"/>
        <v>104.91041287041389</v>
      </c>
      <c r="Y79" s="68">
        <f t="shared" si="42"/>
        <v>-218.37626163958521</v>
      </c>
      <c r="Z79" s="61">
        <f t="shared" si="36"/>
        <v>-113.46584876917132</v>
      </c>
      <c r="AA79" s="90">
        <f t="shared" si="37"/>
        <v>-2927.2486994714664</v>
      </c>
      <c r="AB79" s="61"/>
    </row>
    <row r="80" spans="2:28" x14ac:dyDescent="0.3">
      <c r="B80" s="89" t="s">
        <v>27</v>
      </c>
      <c r="C80" s="60" t="s">
        <v>28</v>
      </c>
      <c r="D80" s="52" t="s">
        <v>63</v>
      </c>
      <c r="E80" s="60" t="s">
        <v>64</v>
      </c>
      <c r="F80" s="65">
        <v>45793</v>
      </c>
      <c r="G80" s="65">
        <v>45610</v>
      </c>
      <c r="H80" s="65">
        <v>45657</v>
      </c>
      <c r="I80" s="66">
        <f t="shared" si="28"/>
        <v>183</v>
      </c>
      <c r="J80" s="60">
        <f t="shared" si="29"/>
        <v>136</v>
      </c>
      <c r="K80" s="67">
        <f t="shared" si="30"/>
        <v>0.37260273972602742</v>
      </c>
      <c r="L80" s="54">
        <v>0.1</v>
      </c>
      <c r="M80" s="68">
        <v>120000</v>
      </c>
      <c r="N80" s="68">
        <v>121566.67</v>
      </c>
      <c r="O80" s="68">
        <f t="shared" si="31"/>
        <v>126016.43835616438</v>
      </c>
      <c r="P80" s="69">
        <f t="shared" si="27"/>
        <v>0.16209999999999999</v>
      </c>
      <c r="Q80" s="61">
        <f t="shared" si="32"/>
        <v>119156.37801999401</v>
      </c>
      <c r="R80" s="61">
        <f t="shared" si="38"/>
        <v>-2410.2919800059899</v>
      </c>
      <c r="S80" s="61">
        <f t="shared" si="33"/>
        <v>-62181.917646184535</v>
      </c>
      <c r="T80" s="69" cm="1">
        <f t="array" ref="T80">nelson(K80,NSS!$G$3,NSS!$G$4,NSS!$G$5,NSS!$G$6,NSS!$G$7,NSS!$G$8)</f>
        <v>4.1784357219679352E-2</v>
      </c>
      <c r="U80" s="69">
        <f t="shared" si="39"/>
        <v>0.16198435721967935</v>
      </c>
      <c r="V80" s="68">
        <f t="shared" si="40"/>
        <v>124084.56990888993</v>
      </c>
      <c r="W80" s="68">
        <f t="shared" si="35"/>
        <v>118843.53962953988</v>
      </c>
      <c r="X80" s="68">
        <f t="shared" si="41"/>
        <v>2517.8999088899291</v>
      </c>
      <c r="Y80" s="68">
        <f t="shared" si="42"/>
        <v>-5241.030279350045</v>
      </c>
      <c r="Z80" s="61">
        <f t="shared" si="36"/>
        <v>-2723.130370460116</v>
      </c>
      <c r="AA80" s="90">
        <f t="shared" si="37"/>
        <v>-70252.678862315297</v>
      </c>
      <c r="AB80" s="61"/>
    </row>
    <row r="81" spans="2:28" x14ac:dyDescent="0.3">
      <c r="B81" s="89" t="s">
        <v>107</v>
      </c>
      <c r="C81" s="60" t="s">
        <v>108</v>
      </c>
      <c r="D81" s="52" t="s">
        <v>63</v>
      </c>
      <c r="E81" s="60" t="s">
        <v>64</v>
      </c>
      <c r="F81" s="65">
        <v>45793</v>
      </c>
      <c r="G81" s="65">
        <v>45610</v>
      </c>
      <c r="H81" s="65">
        <v>45657</v>
      </c>
      <c r="I81" s="66">
        <f t="shared" si="28"/>
        <v>183</v>
      </c>
      <c r="J81" s="60">
        <f t="shared" si="29"/>
        <v>136</v>
      </c>
      <c r="K81" s="67">
        <f t="shared" si="30"/>
        <v>0.37260273972602742</v>
      </c>
      <c r="L81" s="54">
        <v>0.1</v>
      </c>
      <c r="M81" s="68">
        <v>95300</v>
      </c>
      <c r="N81" s="68">
        <v>96544.19</v>
      </c>
      <c r="O81" s="68">
        <f t="shared" si="31"/>
        <v>100078.05479452055</v>
      </c>
      <c r="P81" s="69">
        <f t="shared" si="27"/>
        <v>0.16209999999999999</v>
      </c>
      <c r="Q81" s="61">
        <f t="shared" si="32"/>
        <v>94630.023544211916</v>
      </c>
      <c r="R81" s="61">
        <f t="shared" si="38"/>
        <v>-1914.1664557880868</v>
      </c>
      <c r="S81" s="61">
        <f t="shared" si="33"/>
        <v>-49382.62330964896</v>
      </c>
      <c r="T81" s="69" cm="1">
        <f t="array" ref="T81">nelson(K81,NSS!$G$3,NSS!$G$4,NSS!$G$5,NSS!$G$6,NSS!$G$7,NSS!$G$8)</f>
        <v>4.1784357219679352E-2</v>
      </c>
      <c r="U81" s="69">
        <f t="shared" si="39"/>
        <v>0.16198435721967935</v>
      </c>
      <c r="V81" s="68">
        <f t="shared" si="40"/>
        <v>98543.829269310081</v>
      </c>
      <c r="W81" s="68">
        <f t="shared" si="35"/>
        <v>94381.577722459595</v>
      </c>
      <c r="X81" s="68">
        <f t="shared" si="41"/>
        <v>1999.6392693100788</v>
      </c>
      <c r="Y81" s="68">
        <f t="shared" si="42"/>
        <v>-4162.2515468504862</v>
      </c>
      <c r="Z81" s="61">
        <f t="shared" si="36"/>
        <v>-2162.6122775404074</v>
      </c>
      <c r="AA81" s="90">
        <f t="shared" si="37"/>
        <v>-55792.152842126205</v>
      </c>
      <c r="AB81" s="61"/>
    </row>
    <row r="82" spans="2:28" x14ac:dyDescent="0.3">
      <c r="B82" s="89" t="s">
        <v>107</v>
      </c>
      <c r="C82" s="60" t="s">
        <v>108</v>
      </c>
      <c r="D82" s="52" t="s">
        <v>124</v>
      </c>
      <c r="E82" s="60" t="s">
        <v>88</v>
      </c>
      <c r="F82" s="65">
        <v>45804</v>
      </c>
      <c r="G82" s="65">
        <v>45621</v>
      </c>
      <c r="H82" s="65">
        <v>45657</v>
      </c>
      <c r="I82" s="66">
        <f t="shared" si="28"/>
        <v>183</v>
      </c>
      <c r="J82" s="60">
        <f t="shared" si="29"/>
        <v>147</v>
      </c>
      <c r="K82" s="67">
        <f t="shared" si="30"/>
        <v>0.40273972602739727</v>
      </c>
      <c r="L82" s="54">
        <v>0.15</v>
      </c>
      <c r="M82" s="68">
        <v>100000</v>
      </c>
      <c r="N82" s="68">
        <v>101500</v>
      </c>
      <c r="O82" s="68">
        <f t="shared" si="31"/>
        <v>107520.54794520549</v>
      </c>
      <c r="P82" s="69">
        <f t="shared" si="27"/>
        <v>0.16209999999999999</v>
      </c>
      <c r="Q82" s="61">
        <f t="shared" si="32"/>
        <v>101208.11103046262</v>
      </c>
      <c r="R82" s="61">
        <f t="shared" si="38"/>
        <v>-291.88896953738004</v>
      </c>
      <c r="S82" s="61">
        <f t="shared" si="33"/>
        <v>-7530.2975806100994</v>
      </c>
      <c r="T82" s="69" cm="1">
        <f t="array" ref="T82">nelson(K82,NSS!$G$3,NSS!$G$4,NSS!$G$5,NSS!$G$6,NSS!$G$7,NSS!$G$8)</f>
        <v>4.1676784184284055E-2</v>
      </c>
      <c r="U82" s="69">
        <f t="shared" si="39"/>
        <v>0.16187678418428406</v>
      </c>
      <c r="V82" s="68">
        <f t="shared" si="40"/>
        <v>105745.61866534324</v>
      </c>
      <c r="W82" s="68">
        <f t="shared" si="35"/>
        <v>100939.85374961664</v>
      </c>
      <c r="X82" s="68">
        <f t="shared" si="41"/>
        <v>4245.6186653432378</v>
      </c>
      <c r="Y82" s="68">
        <f t="shared" si="42"/>
        <v>-4805.7649157265987</v>
      </c>
      <c r="Z82" s="61">
        <f t="shared" si="36"/>
        <v>-560.14625038336089</v>
      </c>
      <c r="AA82" s="90">
        <f t="shared" si="37"/>
        <v>-14450.933040515136</v>
      </c>
      <c r="AB82" s="61"/>
    </row>
    <row r="83" spans="2:28" x14ac:dyDescent="0.3">
      <c r="B83" s="89" t="s">
        <v>70</v>
      </c>
      <c r="C83" s="60" t="s">
        <v>71</v>
      </c>
      <c r="D83" s="52" t="s">
        <v>73</v>
      </c>
      <c r="E83" s="60" t="s">
        <v>69</v>
      </c>
      <c r="F83" s="65">
        <v>45805</v>
      </c>
      <c r="G83" s="65">
        <v>45625</v>
      </c>
      <c r="H83" s="65">
        <v>45657</v>
      </c>
      <c r="I83" s="66">
        <f t="shared" si="28"/>
        <v>180</v>
      </c>
      <c r="J83" s="60">
        <f t="shared" si="29"/>
        <v>148</v>
      </c>
      <c r="K83" s="67">
        <f t="shared" si="30"/>
        <v>0.40547945205479452</v>
      </c>
      <c r="L83" s="54">
        <v>0.12</v>
      </c>
      <c r="M83" s="68">
        <v>300000</v>
      </c>
      <c r="N83" s="68">
        <v>303200</v>
      </c>
      <c r="O83" s="68">
        <f t="shared" si="31"/>
        <v>317753.42465753423</v>
      </c>
      <c r="P83" s="69">
        <f t="shared" si="27"/>
        <v>0.16209999999999999</v>
      </c>
      <c r="Q83" s="61">
        <f t="shared" si="32"/>
        <v>298975.32099853898</v>
      </c>
      <c r="R83" s="61">
        <f t="shared" si="38"/>
        <v>-4224.679001461016</v>
      </c>
      <c r="S83" s="61">
        <f t="shared" si="33"/>
        <v>-108990.38121919203</v>
      </c>
      <c r="T83" s="69" cm="1">
        <f t="array" ref="T83">nelson(K83,NSS!$G$3,NSS!$G$4,NSS!$G$5,NSS!$G$6,NSS!$G$7,NSS!$G$8)</f>
        <v>4.1666634037838268E-2</v>
      </c>
      <c r="U83" s="69">
        <f t="shared" si="39"/>
        <v>0.16186663403783827</v>
      </c>
      <c r="V83" s="68">
        <f t="shared" si="40"/>
        <v>312474.18457734707</v>
      </c>
      <c r="W83" s="68">
        <f t="shared" si="35"/>
        <v>298182.62714696914</v>
      </c>
      <c r="X83" s="68">
        <f t="shared" si="41"/>
        <v>9274.1845773470704</v>
      </c>
      <c r="Y83" s="68">
        <f t="shared" si="42"/>
        <v>-14291.557430377929</v>
      </c>
      <c r="Z83" s="61">
        <f t="shared" si="36"/>
        <v>-5017.3728530308581</v>
      </c>
      <c r="AA83" s="90">
        <f t="shared" si="37"/>
        <v>-129440.69354891659</v>
      </c>
      <c r="AB83" s="61"/>
    </row>
    <row r="84" spans="2:28" x14ac:dyDescent="0.3">
      <c r="B84" s="89" t="s">
        <v>27</v>
      </c>
      <c r="C84" s="60" t="s">
        <v>28</v>
      </c>
      <c r="D84" s="52" t="s">
        <v>73</v>
      </c>
      <c r="E84" s="60" t="s">
        <v>69</v>
      </c>
      <c r="F84" s="65">
        <v>45805</v>
      </c>
      <c r="G84" s="65">
        <v>45625</v>
      </c>
      <c r="H84" s="65">
        <v>45657</v>
      </c>
      <c r="I84" s="66">
        <f t="shared" si="28"/>
        <v>180</v>
      </c>
      <c r="J84" s="60">
        <f t="shared" si="29"/>
        <v>148</v>
      </c>
      <c r="K84" s="67">
        <f t="shared" si="30"/>
        <v>0.40547945205479452</v>
      </c>
      <c r="L84" s="54">
        <v>0.12</v>
      </c>
      <c r="M84" s="68">
        <v>200000</v>
      </c>
      <c r="N84" s="68">
        <v>202133.33</v>
      </c>
      <c r="O84" s="68">
        <f t="shared" si="31"/>
        <v>211835.61643835617</v>
      </c>
      <c r="P84" s="69">
        <f t="shared" si="27"/>
        <v>0.16209999999999999</v>
      </c>
      <c r="Q84" s="61">
        <f t="shared" si="32"/>
        <v>199316.88066569268</v>
      </c>
      <c r="R84" s="61">
        <f t="shared" si="38"/>
        <v>-2816.4493343073118</v>
      </c>
      <c r="S84" s="61">
        <f t="shared" si="33"/>
        <v>-72660.168151127189</v>
      </c>
      <c r="T84" s="69" cm="1">
        <f t="array" ref="T84">nelson(K84,NSS!$G$3,NSS!$G$4,NSS!$G$5,NSS!$G$6,NSS!$G$7,NSS!$G$8)</f>
        <v>4.1666634037838268E-2</v>
      </c>
      <c r="U84" s="69">
        <f t="shared" si="39"/>
        <v>0.16186663403783827</v>
      </c>
      <c r="V84" s="68">
        <f t="shared" si="40"/>
        <v>208316.12305156473</v>
      </c>
      <c r="W84" s="68">
        <f t="shared" si="35"/>
        <v>198788.41809797945</v>
      </c>
      <c r="X84" s="68">
        <f t="shared" si="41"/>
        <v>6182.7930515647458</v>
      </c>
      <c r="Y84" s="68">
        <f t="shared" si="42"/>
        <v>-9527.7049535852857</v>
      </c>
      <c r="Z84" s="61">
        <f t="shared" si="36"/>
        <v>-3344.9119020205399</v>
      </c>
      <c r="AA84" s="90">
        <f t="shared" si="37"/>
        <v>-86293.709704276902</v>
      </c>
      <c r="AB84" s="61"/>
    </row>
    <row r="85" spans="2:28" x14ac:dyDescent="0.3">
      <c r="B85" s="89" t="s">
        <v>107</v>
      </c>
      <c r="C85" s="60" t="s">
        <v>108</v>
      </c>
      <c r="D85" s="52" t="s">
        <v>135</v>
      </c>
      <c r="E85" s="60" t="s">
        <v>59</v>
      </c>
      <c r="F85" s="65">
        <v>45810</v>
      </c>
      <c r="G85" s="65">
        <v>45629</v>
      </c>
      <c r="H85" s="65">
        <v>45657</v>
      </c>
      <c r="I85" s="66">
        <f t="shared" si="28"/>
        <v>181</v>
      </c>
      <c r="J85" s="60">
        <f t="shared" si="29"/>
        <v>153</v>
      </c>
      <c r="K85" s="67">
        <f t="shared" si="30"/>
        <v>0.41917808219178082</v>
      </c>
      <c r="L85" s="54">
        <v>0.12</v>
      </c>
      <c r="M85" s="68">
        <v>500000</v>
      </c>
      <c r="N85" s="68">
        <v>504666.67</v>
      </c>
      <c r="O85" s="68">
        <f t="shared" si="31"/>
        <v>529753.42465753423</v>
      </c>
      <c r="P85" s="69">
        <f t="shared" si="27"/>
        <v>0.16209999999999999</v>
      </c>
      <c r="Q85" s="61">
        <f t="shared" si="32"/>
        <v>497422.15793092328</v>
      </c>
      <c r="R85" s="61">
        <f t="shared" si="38"/>
        <v>-7244.5120690767071</v>
      </c>
      <c r="S85" s="61">
        <f t="shared" si="33"/>
        <v>-186897.54461407542</v>
      </c>
      <c r="T85" s="69" cm="1">
        <f t="array" ref="T85">nelson(K85,NSS!$G$3,NSS!$G$4,NSS!$G$5,NSS!$G$6,NSS!$G$7,NSS!$G$8)</f>
        <v>4.1615054335229384E-2</v>
      </c>
      <c r="U85" s="69">
        <f t="shared" si="39"/>
        <v>0.16181505433522939</v>
      </c>
      <c r="V85" s="68">
        <f t="shared" si="40"/>
        <v>520670.78175440599</v>
      </c>
      <c r="W85" s="68">
        <f t="shared" si="35"/>
        <v>496103.08752403496</v>
      </c>
      <c r="X85" s="68">
        <f t="shared" si="41"/>
        <v>16004.111754406011</v>
      </c>
      <c r="Y85" s="68">
        <f t="shared" si="42"/>
        <v>-24567.694230371038</v>
      </c>
      <c r="Z85" s="61">
        <f t="shared" si="36"/>
        <v>-8563.5824759650277</v>
      </c>
      <c r="AA85" s="90">
        <f t="shared" si="37"/>
        <v>-220927.58250618377</v>
      </c>
      <c r="AB85" s="61"/>
    </row>
    <row r="86" spans="2:28" x14ac:dyDescent="0.3">
      <c r="B86" s="89" t="s">
        <v>107</v>
      </c>
      <c r="C86" s="60" t="s">
        <v>108</v>
      </c>
      <c r="D86" s="52" t="s">
        <v>126</v>
      </c>
      <c r="E86" s="60" t="s">
        <v>88</v>
      </c>
      <c r="F86" s="65">
        <v>45817</v>
      </c>
      <c r="G86" s="65">
        <v>45635</v>
      </c>
      <c r="H86" s="65">
        <v>45657</v>
      </c>
      <c r="I86" s="66">
        <f t="shared" si="28"/>
        <v>182</v>
      </c>
      <c r="J86" s="60">
        <f t="shared" si="29"/>
        <v>160</v>
      </c>
      <c r="K86" s="67">
        <f t="shared" si="30"/>
        <v>0.43835616438356162</v>
      </c>
      <c r="L86" s="54">
        <v>0.15</v>
      </c>
      <c r="M86" s="68">
        <v>150000</v>
      </c>
      <c r="N86" s="68">
        <v>151375</v>
      </c>
      <c r="O86" s="68">
        <f t="shared" si="31"/>
        <v>161219.17808219179</v>
      </c>
      <c r="P86" s="69">
        <f t="shared" si="27"/>
        <v>0.16209999999999999</v>
      </c>
      <c r="Q86" s="61">
        <f t="shared" si="32"/>
        <v>150944.33269729331</v>
      </c>
      <c r="R86" s="61">
        <f t="shared" si="38"/>
        <v>-430.66730270668631</v>
      </c>
      <c r="S86" s="61">
        <f t="shared" si="33"/>
        <v>-11110.570408878448</v>
      </c>
      <c r="T86" s="69" cm="1">
        <f t="array" ref="T86">nelson(K86,NSS!$G$3,NSS!$G$4,NSS!$G$5,NSS!$G$6,NSS!$G$7,NSS!$G$8)</f>
        <v>4.1540727891725943E-2</v>
      </c>
      <c r="U86" s="69">
        <f t="shared" si="39"/>
        <v>0.16174072789172594</v>
      </c>
      <c r="V86" s="68">
        <f t="shared" si="40"/>
        <v>158335.93856895389</v>
      </c>
      <c r="W86" s="68">
        <f t="shared" si="35"/>
        <v>150545.49565048542</v>
      </c>
      <c r="X86" s="68">
        <f t="shared" si="41"/>
        <v>6960.9385689538904</v>
      </c>
      <c r="Y86" s="68">
        <f t="shared" si="42"/>
        <v>-7790.4429184684705</v>
      </c>
      <c r="Z86" s="61">
        <f t="shared" si="36"/>
        <v>-829.5043495145801</v>
      </c>
      <c r="AA86" s="90">
        <f t="shared" si="37"/>
        <v>-21399.967960951893</v>
      </c>
      <c r="AB86" s="61"/>
    </row>
    <row r="87" spans="2:28" x14ac:dyDescent="0.3">
      <c r="B87" s="89" t="s">
        <v>107</v>
      </c>
      <c r="C87" s="60" t="s">
        <v>108</v>
      </c>
      <c r="D87" s="52" t="s">
        <v>118</v>
      </c>
      <c r="E87" s="60" t="s">
        <v>45</v>
      </c>
      <c r="F87" s="65">
        <v>45824</v>
      </c>
      <c r="G87" s="65">
        <v>45642</v>
      </c>
      <c r="H87" s="65">
        <v>45657</v>
      </c>
      <c r="I87" s="66">
        <f t="shared" si="28"/>
        <v>182</v>
      </c>
      <c r="J87" s="60">
        <f t="shared" si="29"/>
        <v>167</v>
      </c>
      <c r="K87" s="67">
        <f t="shared" si="30"/>
        <v>0.45753424657534247</v>
      </c>
      <c r="L87" s="54">
        <v>0.15</v>
      </c>
      <c r="M87" s="68">
        <v>200000</v>
      </c>
      <c r="N87" s="68">
        <v>201250</v>
      </c>
      <c r="O87" s="68">
        <f t="shared" si="31"/>
        <v>214958.90410958903</v>
      </c>
      <c r="P87" s="69">
        <f t="shared" si="27"/>
        <v>0.16209999999999999</v>
      </c>
      <c r="Q87" s="61">
        <f t="shared" si="32"/>
        <v>200680.09741725831</v>
      </c>
      <c r="R87" s="61">
        <f t="shared" si="38"/>
        <v>-569.90258274169173</v>
      </c>
      <c r="S87" s="61">
        <f t="shared" si="33"/>
        <v>-14702.631780861535</v>
      </c>
      <c r="T87" s="69" cm="1">
        <f t="array" ref="T87">nelson(K87,NSS!$G$3,NSS!$G$4,NSS!$G$5,NSS!$G$6,NSS!$G$7,NSS!$G$8)</f>
        <v>4.1464280851145036E-2</v>
      </c>
      <c r="U87" s="69">
        <f t="shared" si="39"/>
        <v>0.16166428085114504</v>
      </c>
      <c r="V87" s="68">
        <f t="shared" si="40"/>
        <v>210956.77385371731</v>
      </c>
      <c r="W87" s="68">
        <f t="shared" si="35"/>
        <v>200154.11565774406</v>
      </c>
      <c r="X87" s="68">
        <f t="shared" si="41"/>
        <v>9706.7738537173136</v>
      </c>
      <c r="Y87" s="68">
        <f t="shared" si="42"/>
        <v>-10802.658195973258</v>
      </c>
      <c r="Z87" s="61">
        <f t="shared" si="36"/>
        <v>-1095.8843422559439</v>
      </c>
      <c r="AA87" s="90">
        <f t="shared" si="37"/>
        <v>-28272.17220368997</v>
      </c>
      <c r="AB87" s="61"/>
    </row>
    <row r="88" spans="2:28" x14ac:dyDescent="0.3">
      <c r="B88" s="89" t="s">
        <v>107</v>
      </c>
      <c r="C88" s="60" t="s">
        <v>108</v>
      </c>
      <c r="D88" s="52" t="s">
        <v>137</v>
      </c>
      <c r="E88" s="60" t="s">
        <v>59</v>
      </c>
      <c r="F88" s="65">
        <v>45824</v>
      </c>
      <c r="G88" s="65">
        <v>45642</v>
      </c>
      <c r="H88" s="65">
        <v>45657</v>
      </c>
      <c r="I88" s="66">
        <f t="shared" si="28"/>
        <v>182</v>
      </c>
      <c r="J88" s="60">
        <f t="shared" si="29"/>
        <v>167</v>
      </c>
      <c r="K88" s="67">
        <f t="shared" si="30"/>
        <v>0.45753424657534247</v>
      </c>
      <c r="L88" s="54">
        <v>0.12</v>
      </c>
      <c r="M88" s="68">
        <v>500000</v>
      </c>
      <c r="N88" s="68">
        <v>502500</v>
      </c>
      <c r="O88" s="68">
        <f t="shared" si="31"/>
        <v>529917.80821917811</v>
      </c>
      <c r="P88" s="69">
        <f t="shared" si="27"/>
        <v>0.16209999999999999</v>
      </c>
      <c r="Q88" s="61">
        <f t="shared" si="32"/>
        <v>494717.61970999371</v>
      </c>
      <c r="R88" s="61">
        <f t="shared" si="38"/>
        <v>-7782.3802900062874</v>
      </c>
      <c r="S88" s="61">
        <f t="shared" si="33"/>
        <v>-200773.73791172722</v>
      </c>
      <c r="T88" s="69" cm="1">
        <f t="array" ref="T88">nelson(K88,NSS!$G$3,NSS!$G$4,NSS!$G$5,NSS!$G$6,NSS!$G$7,NSS!$G$8)</f>
        <v>4.1464280851145036E-2</v>
      </c>
      <c r="U88" s="69">
        <f t="shared" si="39"/>
        <v>0.16166428085114504</v>
      </c>
      <c r="V88" s="68">
        <f t="shared" si="40"/>
        <v>520051.73590091779</v>
      </c>
      <c r="W88" s="68">
        <f t="shared" si="35"/>
        <v>493420.9667412804</v>
      </c>
      <c r="X88" s="68">
        <f t="shared" si="41"/>
        <v>17551.735900917789</v>
      </c>
      <c r="Y88" s="68">
        <f t="shared" si="42"/>
        <v>-26630.769159637392</v>
      </c>
      <c r="Z88" s="61">
        <f t="shared" si="36"/>
        <v>-9079.0332587196026</v>
      </c>
      <c r="AA88" s="90">
        <f t="shared" si="37"/>
        <v>-234225.43952507767</v>
      </c>
      <c r="AB88" s="61"/>
    </row>
    <row r="89" spans="2:28" x14ac:dyDescent="0.3">
      <c r="B89" s="89" t="s">
        <v>107</v>
      </c>
      <c r="C89" s="60" t="s">
        <v>108</v>
      </c>
      <c r="D89" s="52" t="s">
        <v>116</v>
      </c>
      <c r="E89" s="60" t="s">
        <v>45</v>
      </c>
      <c r="F89" s="65">
        <v>45859</v>
      </c>
      <c r="G89" s="65">
        <v>45497</v>
      </c>
      <c r="H89" s="65">
        <v>45657</v>
      </c>
      <c r="I89" s="66">
        <f t="shared" si="28"/>
        <v>362</v>
      </c>
      <c r="J89" s="60">
        <f t="shared" si="29"/>
        <v>202</v>
      </c>
      <c r="K89" s="67">
        <f t="shared" si="30"/>
        <v>0.55342465753424652</v>
      </c>
      <c r="L89" s="54">
        <v>0.2</v>
      </c>
      <c r="M89" s="68">
        <v>250000</v>
      </c>
      <c r="N89" s="68">
        <v>272222.21999999997</v>
      </c>
      <c r="O89" s="68">
        <f t="shared" si="31"/>
        <v>299589.0410958904</v>
      </c>
      <c r="P89" s="69">
        <f t="shared" ref="P89:P95" si="43">+$C$99+$C$105</f>
        <v>0.1615</v>
      </c>
      <c r="Q89" s="61">
        <f t="shared" si="32"/>
        <v>275767.24893600505</v>
      </c>
      <c r="R89" s="61">
        <f t="shared" si="38"/>
        <v>3545.0289360050811</v>
      </c>
      <c r="S89" s="61">
        <f t="shared" si="33"/>
        <v>91456.429005527083</v>
      </c>
      <c r="T89" s="69" cm="1">
        <f t="array" ref="T89">nelson(K89,NSS!$G$3,NSS!$G$4,NSS!$G$5,NSS!$G$6,NSS!$G$7,NSS!$G$8)</f>
        <v>4.1063143958317172E-2</v>
      </c>
      <c r="U89" s="69">
        <f t="shared" si="39"/>
        <v>0.16126314395831717</v>
      </c>
      <c r="V89" s="68">
        <f t="shared" si="40"/>
        <v>292932.05573351396</v>
      </c>
      <c r="W89" s="68">
        <f t="shared" si="35"/>
        <v>275042.33753769676</v>
      </c>
      <c r="X89" s="68">
        <f t="shared" si="41"/>
        <v>20709.835733513988</v>
      </c>
      <c r="Y89" s="68">
        <f t="shared" si="42"/>
        <v>-17889.7181958172</v>
      </c>
      <c r="Z89" s="61">
        <f t="shared" si="36"/>
        <v>2820.1175376967876</v>
      </c>
      <c r="AA89" s="90">
        <f t="shared" si="37"/>
        <v>72754.802296270573</v>
      </c>
      <c r="AB89" s="61"/>
    </row>
    <row r="90" spans="2:28" x14ac:dyDescent="0.3">
      <c r="B90" s="89" t="s">
        <v>27</v>
      </c>
      <c r="C90" s="60" t="s">
        <v>28</v>
      </c>
      <c r="D90" s="52" t="s">
        <v>90</v>
      </c>
      <c r="E90" s="60" t="s">
        <v>88</v>
      </c>
      <c r="F90" s="65">
        <v>45967</v>
      </c>
      <c r="G90" s="65">
        <v>45607</v>
      </c>
      <c r="H90" s="65">
        <v>45657</v>
      </c>
      <c r="I90" s="66">
        <f t="shared" si="28"/>
        <v>360</v>
      </c>
      <c r="J90" s="60">
        <f t="shared" si="29"/>
        <v>310</v>
      </c>
      <c r="K90" s="67">
        <f t="shared" si="30"/>
        <v>0.84931506849315064</v>
      </c>
      <c r="L90" s="54">
        <v>0.12</v>
      </c>
      <c r="M90" s="68">
        <v>500000</v>
      </c>
      <c r="N90" s="68">
        <v>508333.33</v>
      </c>
      <c r="O90" s="68">
        <f t="shared" si="31"/>
        <v>559178.08219178079</v>
      </c>
      <c r="P90" s="69">
        <f t="shared" si="43"/>
        <v>0.1615</v>
      </c>
      <c r="Q90" s="61">
        <f t="shared" si="32"/>
        <v>492411.67558941734</v>
      </c>
      <c r="R90" s="61">
        <f t="shared" si="38"/>
        <v>-15921.654410582676</v>
      </c>
      <c r="S90" s="61">
        <f t="shared" si="33"/>
        <v>-410754.80131141719</v>
      </c>
      <c r="T90" s="69" cm="1">
        <f t="array" ref="T90">nelson(K90,NSS!$G$3,NSS!$G$4,NSS!$G$5,NSS!$G$6,NSS!$G$7,NSS!$G$8)</f>
        <v>3.9997589174862291E-2</v>
      </c>
      <c r="U90" s="69">
        <f t="shared" si="39"/>
        <v>0.16019758917486229</v>
      </c>
      <c r="V90" s="68">
        <f t="shared" si="40"/>
        <v>540806.58233951253</v>
      </c>
      <c r="W90" s="68">
        <f t="shared" si="35"/>
        <v>492208.99878755811</v>
      </c>
      <c r="X90" s="68">
        <f t="shared" si="41"/>
        <v>32473.252339512517</v>
      </c>
      <c r="Y90" s="68">
        <f t="shared" si="42"/>
        <v>-48597.58355195442</v>
      </c>
      <c r="Z90" s="61">
        <f t="shared" si="36"/>
        <v>-16124.331212441903</v>
      </c>
      <c r="AA90" s="90">
        <f t="shared" si="37"/>
        <v>-415983.55878418242</v>
      </c>
      <c r="AB90" s="61"/>
    </row>
    <row r="91" spans="2:28" x14ac:dyDescent="0.3">
      <c r="B91" s="89" t="s">
        <v>27</v>
      </c>
      <c r="C91" s="60" t="s">
        <v>28</v>
      </c>
      <c r="D91" s="52" t="s">
        <v>92</v>
      </c>
      <c r="E91" s="60" t="s">
        <v>88</v>
      </c>
      <c r="F91" s="65">
        <v>45995</v>
      </c>
      <c r="G91" s="65">
        <v>45635</v>
      </c>
      <c r="H91" s="65">
        <v>45657</v>
      </c>
      <c r="I91" s="66">
        <f t="shared" si="28"/>
        <v>360</v>
      </c>
      <c r="J91" s="60">
        <f t="shared" si="29"/>
        <v>338</v>
      </c>
      <c r="K91" s="67">
        <f t="shared" si="30"/>
        <v>0.92602739726027394</v>
      </c>
      <c r="L91" s="54">
        <v>0.2</v>
      </c>
      <c r="M91" s="68">
        <v>100000</v>
      </c>
      <c r="N91" s="68">
        <v>101222.22</v>
      </c>
      <c r="O91" s="68">
        <f t="shared" si="31"/>
        <v>119726.02739726027</v>
      </c>
      <c r="P91" s="69">
        <f t="shared" si="43"/>
        <v>0.1615</v>
      </c>
      <c r="Q91" s="61">
        <f t="shared" si="32"/>
        <v>104226.70273969148</v>
      </c>
      <c r="R91" s="61">
        <f t="shared" si="38"/>
        <v>3004.482739691477</v>
      </c>
      <c r="S91" s="61">
        <f t="shared" si="33"/>
        <v>77511.147959930575</v>
      </c>
      <c r="T91" s="69" cm="1">
        <f t="array" ref="T91">nelson(K91,NSS!$G$3,NSS!$G$4,NSS!$G$5,NSS!$G$6,NSS!$G$7,NSS!$G$8)</f>
        <v>3.9854960659815031E-2</v>
      </c>
      <c r="U91" s="69">
        <f t="shared" si="39"/>
        <v>0.16005496065981503</v>
      </c>
      <c r="V91" s="68">
        <f t="shared" si="40"/>
        <v>115464.60016745476</v>
      </c>
      <c r="W91" s="68">
        <f>O91/((T91+$C$99)*K91+1)</f>
        <v>104271.41114098029</v>
      </c>
      <c r="X91" s="68">
        <f t="shared" si="41"/>
        <v>14242.380167454758</v>
      </c>
      <c r="Y91" s="68">
        <f t="shared" si="42"/>
        <v>-11193.189026474472</v>
      </c>
      <c r="Z91" s="61">
        <f t="shared" si="36"/>
        <v>3049.1911409802851</v>
      </c>
      <c r="AA91" s="90">
        <f t="shared" si="37"/>
        <v>78664.557650579882</v>
      </c>
      <c r="AB91" s="61"/>
    </row>
    <row r="92" spans="2:28" x14ac:dyDescent="0.3">
      <c r="B92" s="89" t="s">
        <v>76</v>
      </c>
      <c r="C92" s="60" t="s">
        <v>77</v>
      </c>
      <c r="D92" s="52" t="s">
        <v>82</v>
      </c>
      <c r="E92" s="60" t="s">
        <v>83</v>
      </c>
      <c r="F92" s="65">
        <v>46010</v>
      </c>
      <c r="G92" s="65">
        <v>45650</v>
      </c>
      <c r="H92" s="65">
        <v>45657</v>
      </c>
      <c r="I92" s="66">
        <f t="shared" si="28"/>
        <v>360</v>
      </c>
      <c r="J92" s="60">
        <f t="shared" si="29"/>
        <v>353</v>
      </c>
      <c r="K92" s="67">
        <f t="shared" si="30"/>
        <v>0.9671232876712329</v>
      </c>
      <c r="L92" s="54">
        <v>0.15</v>
      </c>
      <c r="M92" s="68">
        <v>30000</v>
      </c>
      <c r="N92" s="68">
        <v>30086.3</v>
      </c>
      <c r="O92" s="68">
        <f t="shared" si="31"/>
        <v>34438.356164383564</v>
      </c>
      <c r="P92" s="69">
        <f t="shared" si="43"/>
        <v>0.1615</v>
      </c>
      <c r="Q92" s="61">
        <f t="shared" si="32"/>
        <v>29796.195635173121</v>
      </c>
      <c r="R92" s="61">
        <f t="shared" si="38"/>
        <v>-290.10436482687874</v>
      </c>
      <c r="S92" s="61">
        <f t="shared" si="33"/>
        <v>-7484.2574559862314</v>
      </c>
      <c r="T92" s="69" cm="1">
        <f t="array" ref="T92">nelson(K92,NSS!$G$3,NSS!$G$4,NSS!$G$5,NSS!$G$6,NSS!$G$7,NSS!$G$8)</f>
        <v>3.9812936723081227E-2</v>
      </c>
      <c r="U92" s="69">
        <f t="shared" si="39"/>
        <v>0.16001293672308123</v>
      </c>
      <c r="V92" s="68">
        <f t="shared" si="40"/>
        <v>33161.504971578928</v>
      </c>
      <c r="W92" s="68">
        <f t="shared" si="35"/>
        <v>29823.156039881807</v>
      </c>
      <c r="X92" s="68">
        <f t="shared" si="41"/>
        <v>3075.204971578929</v>
      </c>
      <c r="Y92" s="68">
        <f t="shared" si="42"/>
        <v>-3338.3489316971209</v>
      </c>
      <c r="Z92" s="61">
        <f t="shared" si="36"/>
        <v>-263.1439601181919</v>
      </c>
      <c r="AA92" s="90">
        <f t="shared" si="37"/>
        <v>-6788.7194551091743</v>
      </c>
      <c r="AB92" s="61"/>
    </row>
    <row r="93" spans="2:28" x14ac:dyDescent="0.3">
      <c r="B93" s="89" t="s">
        <v>27</v>
      </c>
      <c r="C93" s="60" t="s">
        <v>28</v>
      </c>
      <c r="D93" s="52" t="s">
        <v>82</v>
      </c>
      <c r="E93" s="60" t="s">
        <v>83</v>
      </c>
      <c r="F93" s="65">
        <v>46010</v>
      </c>
      <c r="G93" s="65">
        <v>45650</v>
      </c>
      <c r="H93" s="65">
        <v>45657</v>
      </c>
      <c r="I93" s="66">
        <f t="shared" si="28"/>
        <v>360</v>
      </c>
      <c r="J93" s="60">
        <f t="shared" si="29"/>
        <v>353</v>
      </c>
      <c r="K93" s="67">
        <f t="shared" si="30"/>
        <v>0.9671232876712329</v>
      </c>
      <c r="L93" s="54">
        <v>0.15</v>
      </c>
      <c r="M93" s="68">
        <v>250000</v>
      </c>
      <c r="N93" s="68">
        <v>250719.18</v>
      </c>
      <c r="O93" s="68">
        <f t="shared" si="31"/>
        <v>286986.30136986304</v>
      </c>
      <c r="P93" s="69">
        <f t="shared" si="43"/>
        <v>0.1615</v>
      </c>
      <c r="Q93" s="61">
        <f>+(1/(1+P93)^(K93))*O93</f>
        <v>248301.63029310934</v>
      </c>
      <c r="R93" s="61">
        <f t="shared" si="38"/>
        <v>-2417.5497068906552</v>
      </c>
      <c r="S93" s="61">
        <f t="shared" si="33"/>
        <v>-62369.156113218567</v>
      </c>
      <c r="T93" s="69" cm="1">
        <f t="array" ref="T93">nelson(K93,NSS!$G$3,NSS!$G$4,NSS!$G$5,NSS!$G$6,NSS!$G$7,NSS!$G$8)</f>
        <v>3.9812936723081227E-2</v>
      </c>
      <c r="U93" s="69">
        <f t="shared" si="39"/>
        <v>0.16001293672308123</v>
      </c>
      <c r="V93" s="68">
        <f t="shared" si="40"/>
        <v>276345.87476315774</v>
      </c>
      <c r="W93" s="68">
        <f t="shared" si="35"/>
        <v>248526.30033234839</v>
      </c>
      <c r="X93" s="68">
        <f t="shared" si="41"/>
        <v>25626.69476315775</v>
      </c>
      <c r="Y93" s="68">
        <f t="shared" si="42"/>
        <v>-27819.574430809356</v>
      </c>
      <c r="Z93" s="61">
        <f t="shared" si="36"/>
        <v>-2192.8796676516067</v>
      </c>
      <c r="AA93" s="90">
        <f t="shared" si="37"/>
        <v>-56573.006105909975</v>
      </c>
      <c r="AB93" s="61"/>
    </row>
    <row r="94" spans="2:28" x14ac:dyDescent="0.3">
      <c r="B94" s="89" t="s">
        <v>107</v>
      </c>
      <c r="C94" s="60" t="s">
        <v>108</v>
      </c>
      <c r="D94" s="52" t="s">
        <v>82</v>
      </c>
      <c r="E94" s="60" t="s">
        <v>83</v>
      </c>
      <c r="F94" s="65">
        <v>46010</v>
      </c>
      <c r="G94" s="65">
        <v>45650</v>
      </c>
      <c r="H94" s="65">
        <v>45657</v>
      </c>
      <c r="I94" s="66">
        <f t="shared" si="28"/>
        <v>360</v>
      </c>
      <c r="J94" s="60">
        <f t="shared" si="29"/>
        <v>353</v>
      </c>
      <c r="K94" s="67">
        <f t="shared" si="30"/>
        <v>0.9671232876712329</v>
      </c>
      <c r="L94" s="54">
        <v>0.15</v>
      </c>
      <c r="M94" s="68">
        <v>220000</v>
      </c>
      <c r="N94" s="68">
        <v>220632.88</v>
      </c>
      <c r="O94" s="68">
        <f t="shared" si="31"/>
        <v>252547.94520547945</v>
      </c>
      <c r="P94" s="69">
        <f t="shared" si="43"/>
        <v>0.1615</v>
      </c>
      <c r="Q94" s="61">
        <f t="shared" si="32"/>
        <v>218505.43465793622</v>
      </c>
      <c r="R94" s="61">
        <f t="shared" si="38"/>
        <v>-2127.4453420637874</v>
      </c>
      <c r="S94" s="61">
        <f t="shared" si="33"/>
        <v>-54884.898657232618</v>
      </c>
      <c r="T94" s="69" cm="1">
        <f t="array" ref="T94">nelson(K94,NSS!$G$3,NSS!$G$4,NSS!$G$5,NSS!$G$6,NSS!$G$7,NSS!$G$8)</f>
        <v>3.9812936723081227E-2</v>
      </c>
      <c r="U94" s="69">
        <f t="shared" si="39"/>
        <v>0.16001293672308123</v>
      </c>
      <c r="V94" s="68">
        <f>O94/((T94)*K94+1)</f>
        <v>243184.36979157879</v>
      </c>
      <c r="W94" s="68">
        <f t="shared" si="35"/>
        <v>218703.14429246658</v>
      </c>
      <c r="X94" s="68">
        <f t="shared" si="41"/>
        <v>22551.489791578788</v>
      </c>
      <c r="Y94" s="68">
        <f t="shared" si="42"/>
        <v>-24481.225499112217</v>
      </c>
      <c r="Z94" s="61">
        <f t="shared" si="36"/>
        <v>-1929.7357075334294</v>
      </c>
      <c r="AA94" s="90">
        <f t="shared" si="37"/>
        <v>-49784.286650801179</v>
      </c>
      <c r="AB94" s="61"/>
    </row>
    <row r="95" spans="2:28" ht="15" thickBot="1" x14ac:dyDescent="0.35">
      <c r="B95" s="108" t="s">
        <v>107</v>
      </c>
      <c r="C95" s="109" t="s">
        <v>108</v>
      </c>
      <c r="D95" s="110" t="s">
        <v>128</v>
      </c>
      <c r="E95" s="109" t="s">
        <v>88</v>
      </c>
      <c r="F95" s="111">
        <v>46020</v>
      </c>
      <c r="G95" s="111">
        <v>45656</v>
      </c>
      <c r="H95" s="111">
        <v>45657</v>
      </c>
      <c r="I95" s="112">
        <f t="shared" si="28"/>
        <v>364</v>
      </c>
      <c r="J95" s="109">
        <f t="shared" si="29"/>
        <v>363</v>
      </c>
      <c r="K95" s="113">
        <f t="shared" si="30"/>
        <v>0.9945205479452055</v>
      </c>
      <c r="L95" s="114">
        <v>0.2</v>
      </c>
      <c r="M95" s="115">
        <v>300000</v>
      </c>
      <c r="N95" s="115">
        <v>300166.67</v>
      </c>
      <c r="O95" s="115">
        <f>+(M95*L95*I95/365)+M95</f>
        <v>359835.61643835617</v>
      </c>
      <c r="P95" s="116">
        <f t="shared" si="43"/>
        <v>0.1615</v>
      </c>
      <c r="Q95" s="117">
        <f>+(1/(1+P95)^(K95))*O95</f>
        <v>310056.75896568084</v>
      </c>
      <c r="R95" s="121">
        <f>+Q95-N95</f>
        <v>9890.0889656808577</v>
      </c>
      <c r="S95" s="117">
        <f t="shared" si="33"/>
        <v>255149.46018111761</v>
      </c>
      <c r="T95" s="116" cm="1">
        <f t="array" ref="T95">nelson(K95,NSS!$G$3,NSS!$G$4,NSS!$G$5,NSS!$G$6,NSS!$G$7,NSS!$G$8)</f>
        <v>3.9799642673113644E-2</v>
      </c>
      <c r="U95" s="116">
        <f>T95+$C$99</f>
        <v>0.15999964267311365</v>
      </c>
      <c r="V95" s="115">
        <f t="shared" si="40"/>
        <v>346135.05033124384</v>
      </c>
      <c r="W95" s="115">
        <f>O95/((T95+$C$99)*K95+1)</f>
        <v>310437.83744631341</v>
      </c>
      <c r="X95" s="115">
        <f>V95-N95</f>
        <v>45968.380331243854</v>
      </c>
      <c r="Y95" s="115">
        <f>W95-V95</f>
        <v>-35697.212884930428</v>
      </c>
      <c r="Z95" s="117">
        <f>+W95-N95</f>
        <v>10271.167446313426</v>
      </c>
      <c r="AA95" s="118">
        <f t="shared" si="37"/>
        <v>264980.7133637169</v>
      </c>
      <c r="AB95" s="61"/>
    </row>
    <row r="96" spans="2:28" x14ac:dyDescent="0.3">
      <c r="R96" s="61">
        <f t="shared" si="38"/>
        <v>0</v>
      </c>
      <c r="S96" s="63">
        <f t="shared" si="33"/>
        <v>0</v>
      </c>
      <c r="W96" s="122"/>
      <c r="Z96" s="62">
        <f>+SUM(Z11:Z95)</f>
        <v>-182603.07324674749</v>
      </c>
      <c r="AA96" s="63">
        <f>+Z96*$C$100</f>
        <v>-4710885.3851562152</v>
      </c>
      <c r="AB96" s="63"/>
    </row>
    <row r="97" spans="2:3" x14ac:dyDescent="0.3">
      <c r="B97" s="64" t="s">
        <v>244</v>
      </c>
    </row>
    <row r="98" spans="2:3" x14ac:dyDescent="0.3">
      <c r="B98" s="64"/>
    </row>
    <row r="99" spans="2:3" x14ac:dyDescent="0.3">
      <c r="B99" s="55" t="s">
        <v>245</v>
      </c>
      <c r="C99" s="56">
        <v>0.1202</v>
      </c>
    </row>
    <row r="100" spans="2:3" x14ac:dyDescent="0.3">
      <c r="B100" s="55" t="s">
        <v>246</v>
      </c>
      <c r="C100" s="58">
        <v>25.798500000000001</v>
      </c>
    </row>
    <row r="101" spans="2:3" x14ac:dyDescent="0.3">
      <c r="B101" s="55" t="s">
        <v>247</v>
      </c>
      <c r="C101" s="56">
        <v>4.2200000000000001E-2</v>
      </c>
    </row>
    <row r="102" spans="2:3" x14ac:dyDescent="0.3">
      <c r="B102" s="55" t="s">
        <v>195</v>
      </c>
      <c r="C102" s="56">
        <v>4.2000000000000003E-2</v>
      </c>
    </row>
    <row r="103" spans="2:3" x14ac:dyDescent="0.3">
      <c r="B103" s="55" t="s">
        <v>196</v>
      </c>
      <c r="C103" s="56">
        <v>4.2299999999999997E-2</v>
      </c>
    </row>
    <row r="104" spans="2:3" x14ac:dyDescent="0.3">
      <c r="B104" s="55" t="s">
        <v>248</v>
      </c>
      <c r="C104" s="56">
        <v>4.19E-2</v>
      </c>
    </row>
    <row r="105" spans="2:3" x14ac:dyDescent="0.3">
      <c r="B105" s="55" t="s">
        <v>197</v>
      </c>
      <c r="C105" s="56">
        <v>4.1300000000000003E-2</v>
      </c>
    </row>
    <row r="106" spans="2:3" x14ac:dyDescent="0.3">
      <c r="B106" s="55" t="s">
        <v>199</v>
      </c>
      <c r="C106" s="56">
        <v>3.9800000000000002E-2</v>
      </c>
    </row>
    <row r="107" spans="2:3" x14ac:dyDescent="0.3">
      <c r="B107" s="57"/>
      <c r="C107" s="58"/>
    </row>
  </sheetData>
  <sortState xmlns:xlrd2="http://schemas.microsoft.com/office/spreadsheetml/2017/richdata2" ref="B11:S96">
    <sortCondition ref="J95:J96"/>
  </sortState>
  <mergeCells count="7">
    <mergeCell ref="P9:S9"/>
    <mergeCell ref="B9:O9"/>
    <mergeCell ref="T9:AA9"/>
    <mergeCell ref="B5:F5"/>
    <mergeCell ref="G5:J5"/>
    <mergeCell ref="K5:N5"/>
    <mergeCell ref="O5:P5"/>
  </mergeCells>
  <conditionalFormatting sqref="O7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P7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headerFooter>
    <oddHeader>&amp;R&amp;"Calibri"&amp;12&amp;K000000 Controlled Disclosure&amp;1#_x000D_</oddHead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FEA6-3DAB-4007-9923-24C224B3162F}">
  <sheetPr codeName="Sheet5"/>
  <dimension ref="C2:I9"/>
  <sheetViews>
    <sheetView workbookViewId="0">
      <selection activeCell="H13" sqref="H13"/>
    </sheetView>
  </sheetViews>
  <sheetFormatPr defaultColWidth="8.6640625" defaultRowHeight="14.4" x14ac:dyDescent="0.3"/>
  <sheetData>
    <row r="2" spans="3:9" x14ac:dyDescent="0.3">
      <c r="C2" t="s">
        <v>249</v>
      </c>
    </row>
    <row r="3" spans="3:9" x14ac:dyDescent="0.3">
      <c r="D3" t="s">
        <v>250</v>
      </c>
      <c r="E3" t="s">
        <v>251</v>
      </c>
      <c r="F3" t="s">
        <v>252</v>
      </c>
      <c r="G3" t="s">
        <v>253</v>
      </c>
      <c r="H3" t="s">
        <v>254</v>
      </c>
    </row>
    <row r="4" spans="3:9" x14ac:dyDescent="0.3">
      <c r="C4" t="s">
        <v>192</v>
      </c>
      <c r="D4" t="s">
        <v>255</v>
      </c>
    </row>
    <row r="5" spans="3:9" x14ac:dyDescent="0.3">
      <c r="C5" t="s">
        <v>194</v>
      </c>
      <c r="D5">
        <v>12</v>
      </c>
      <c r="E5">
        <v>7</v>
      </c>
      <c r="F5">
        <v>5</v>
      </c>
      <c r="G5">
        <v>5</v>
      </c>
      <c r="H5">
        <v>7</v>
      </c>
      <c r="I5">
        <f>+AVERAGE(D5:H5)</f>
        <v>7.2</v>
      </c>
    </row>
    <row r="6" spans="3:9" x14ac:dyDescent="0.3">
      <c r="C6" t="s">
        <v>195</v>
      </c>
      <c r="D6">
        <v>13</v>
      </c>
      <c r="E6">
        <v>8</v>
      </c>
      <c r="F6">
        <v>5.5</v>
      </c>
      <c r="G6">
        <v>5</v>
      </c>
      <c r="H6">
        <v>7.25</v>
      </c>
      <c r="I6">
        <f t="shared" ref="I6:I9" si="0">+AVERAGE(D6:H6)</f>
        <v>7.75</v>
      </c>
    </row>
    <row r="7" spans="3:9" x14ac:dyDescent="0.3">
      <c r="C7" t="s">
        <v>196</v>
      </c>
      <c r="D7">
        <v>14</v>
      </c>
      <c r="E7">
        <v>9</v>
      </c>
      <c r="F7">
        <v>6</v>
      </c>
      <c r="G7">
        <v>5</v>
      </c>
      <c r="H7">
        <v>7.5</v>
      </c>
      <c r="I7">
        <f t="shared" si="0"/>
        <v>8.3000000000000007</v>
      </c>
    </row>
    <row r="8" spans="3:9" x14ac:dyDescent="0.3">
      <c r="C8" t="s">
        <v>197</v>
      </c>
      <c r="D8">
        <v>15</v>
      </c>
      <c r="E8">
        <v>9</v>
      </c>
      <c r="F8">
        <v>7</v>
      </c>
      <c r="G8">
        <v>5</v>
      </c>
      <c r="H8">
        <v>7.75</v>
      </c>
      <c r="I8">
        <f t="shared" si="0"/>
        <v>8.75</v>
      </c>
    </row>
    <row r="9" spans="3:9" x14ac:dyDescent="0.3">
      <c r="C9" t="s">
        <v>199</v>
      </c>
      <c r="D9">
        <v>16</v>
      </c>
      <c r="E9">
        <v>9</v>
      </c>
      <c r="F9">
        <v>8</v>
      </c>
      <c r="G9">
        <v>5</v>
      </c>
      <c r="H9">
        <v>8</v>
      </c>
      <c r="I9">
        <f t="shared" si="0"/>
        <v>9.1999999999999993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8ABF3-7258-4150-9379-B7602E62A4F5}">
  <sheetPr codeName="Sheet6"/>
  <dimension ref="A1:O6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20" sqref="N20"/>
    </sheetView>
  </sheetViews>
  <sheetFormatPr defaultColWidth="8.6640625" defaultRowHeight="14.4" x14ac:dyDescent="0.3"/>
  <cols>
    <col min="1" max="1" width="12.6640625" customWidth="1"/>
    <col min="2" max="2" width="11.33203125" bestFit="1" customWidth="1"/>
    <col min="3" max="3" width="16.6640625" bestFit="1" customWidth="1"/>
    <col min="5" max="5" width="19.6640625" bestFit="1" customWidth="1"/>
    <col min="6" max="6" width="13.33203125" bestFit="1" customWidth="1"/>
    <col min="7" max="7" width="10.109375" bestFit="1" customWidth="1"/>
    <col min="9" max="9" width="22.6640625" bestFit="1" customWidth="1"/>
    <col min="10" max="10" width="14.6640625" bestFit="1" customWidth="1"/>
    <col min="11" max="11" width="15" bestFit="1" customWidth="1"/>
    <col min="12" max="12" width="17.33203125" bestFit="1" customWidth="1"/>
    <col min="14" max="14" width="12.33203125" bestFit="1" customWidth="1"/>
  </cols>
  <sheetData>
    <row r="1" spans="1:15" x14ac:dyDescent="0.3">
      <c r="L1" s="27"/>
    </row>
    <row r="2" spans="1:15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s="10" t="s">
        <v>7</v>
      </c>
      <c r="I2" t="s">
        <v>8</v>
      </c>
      <c r="J2" t="s">
        <v>9</v>
      </c>
      <c r="K2" t="s">
        <v>10</v>
      </c>
      <c r="L2" t="s">
        <v>12</v>
      </c>
      <c r="N2" s="26"/>
    </row>
    <row r="3" spans="1:15" x14ac:dyDescent="0.3">
      <c r="A3" s="18">
        <v>45473</v>
      </c>
      <c r="B3" t="s">
        <v>27</v>
      </c>
      <c r="C3" t="s">
        <v>28</v>
      </c>
      <c r="D3" t="s">
        <v>256</v>
      </c>
      <c r="E3" t="s">
        <v>257</v>
      </c>
      <c r="F3" s="18">
        <v>45520</v>
      </c>
      <c r="G3" s="18">
        <v>45160</v>
      </c>
      <c r="H3" s="29">
        <v>13</v>
      </c>
      <c r="I3" t="s">
        <v>258</v>
      </c>
      <c r="J3" s="7">
        <v>1109.79</v>
      </c>
      <c r="K3" s="7">
        <v>1824138.58</v>
      </c>
      <c r="L3" s="28" t="s">
        <v>259</v>
      </c>
      <c r="M3">
        <f>+H3/100</f>
        <v>0.13</v>
      </c>
      <c r="N3" s="11"/>
      <c r="O3" s="11"/>
    </row>
    <row r="4" spans="1:15" x14ac:dyDescent="0.3">
      <c r="A4" s="30">
        <v>45473</v>
      </c>
      <c r="B4" s="28" t="s">
        <v>107</v>
      </c>
      <c r="C4" s="28" t="s">
        <v>108</v>
      </c>
      <c r="D4" s="28" t="s">
        <v>260</v>
      </c>
      <c r="E4" s="28" t="s">
        <v>261</v>
      </c>
      <c r="F4" s="30">
        <v>45678</v>
      </c>
      <c r="G4" s="30">
        <v>45408</v>
      </c>
      <c r="H4" s="29">
        <v>12</v>
      </c>
      <c r="I4" s="28" t="s">
        <v>258</v>
      </c>
      <c r="J4" s="31">
        <v>1342180</v>
      </c>
      <c r="K4" s="31">
        <v>1370310</v>
      </c>
      <c r="L4" s="28" t="s">
        <v>259</v>
      </c>
      <c r="M4">
        <f t="shared" ref="M4" si="0">+H4/100</f>
        <v>0.12</v>
      </c>
      <c r="N4" s="11"/>
      <c r="O4" s="11"/>
    </row>
    <row r="6" spans="1:15" x14ac:dyDescent="0.3">
      <c r="A6" s="18"/>
      <c r="F6" s="18"/>
      <c r="G6" s="1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E996DB1EE7F747B797058B7D6CF4ED" ma:contentTypeVersion="11" ma:contentTypeDescription="Create a new document." ma:contentTypeScope="" ma:versionID="1d7956c12aacbbba6e428154ba088534">
  <xsd:schema xmlns:xsd="http://www.w3.org/2001/XMLSchema" xmlns:xs="http://www.w3.org/2001/XMLSchema" xmlns:p="http://schemas.microsoft.com/office/2006/metadata/properties" xmlns:ns2="1e987c18-c08e-407b-9c31-150449cbaec0" xmlns:ns3="a0220c90-0dbb-46a8-a885-55c1dd23be02" targetNamespace="http://schemas.microsoft.com/office/2006/metadata/properties" ma:root="true" ma:fieldsID="8d4c286e67b32bce2753fca03eb75998" ns2:_="" ns3:_="">
    <xsd:import namespace="1e987c18-c08e-407b-9c31-150449cbaec0"/>
    <xsd:import namespace="a0220c90-0dbb-46a8-a885-55c1dd23be0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87c18-c08e-407b-9c31-150449cbaec0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4a02099e-a6d5-4010-82a7-0fa6f3f849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220c90-0dbb-46a8-a885-55c1dd23be0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58c1e798-32ea-416f-9aab-ba61b62871c8}" ma:internalName="TaxCatchAll" ma:showField="CatchAllData" ma:web="a0220c90-0dbb-46a8-a885-55c1dd23be0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987c18-c08e-407b-9c31-150449cbaec0">
      <Terms xmlns="http://schemas.microsoft.com/office/infopath/2007/PartnerControls"/>
    </lcf76f155ced4ddcb4097134ff3c332f>
    <TaxCatchAll xmlns="a0220c90-0dbb-46a8-a885-55c1dd23be02" xsi:nil="true"/>
  </documentManagement>
</p:properties>
</file>

<file path=customXml/itemProps1.xml><?xml version="1.0" encoding="utf-8"?>
<ds:datastoreItem xmlns:ds="http://schemas.openxmlformats.org/officeDocument/2006/customXml" ds:itemID="{FE157EE2-A9F6-4193-AEEA-C7C4E5E716C5}"/>
</file>

<file path=customXml/itemProps2.xml><?xml version="1.0" encoding="utf-8"?>
<ds:datastoreItem xmlns:ds="http://schemas.openxmlformats.org/officeDocument/2006/customXml" ds:itemID="{237C5A5B-DBE1-4B0A-A2EF-9F43AE097F8E}"/>
</file>

<file path=customXml/itemProps3.xml><?xml version="1.0" encoding="utf-8"?>
<ds:datastoreItem xmlns:ds="http://schemas.openxmlformats.org/officeDocument/2006/customXml" ds:itemID="{ABA0D480-0B70-4AB3-8397-F8D42DBD1CE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 Data</vt:lpstr>
      <vt:lpstr>NSS</vt:lpstr>
      <vt:lpstr>ZWG Money Market</vt:lpstr>
      <vt:lpstr>US$ Money Market</vt:lpstr>
      <vt:lpstr>Sheet1</vt:lpstr>
      <vt:lpstr>Bonds Input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Maworere, Farirai</dc:creator>
  <cp:keywords/>
  <dc:description/>
  <cp:lastModifiedBy>Millicent Qochiwa</cp:lastModifiedBy>
  <cp:revision/>
  <dcterms:created xsi:type="dcterms:W3CDTF">2020-12-02T18:52:18Z</dcterms:created>
  <dcterms:modified xsi:type="dcterms:W3CDTF">2025-02-05T14:16:48Z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{86F86291-3525-4DFF-AB83-32D5D73CC139}</vt:lpwstr>
  </property>
  <property fmtid="{D5CDD505-2E9C-101B-9397-08002B2CF9AE}" pid="3" name="MSIP_Label_809c58d3-5cd9-42fe-847f-613d390a4aa6_Enabled">
    <vt:lpwstr>true</vt:lpwstr>
  </property>
  <property fmtid="{D5CDD505-2E9C-101B-9397-08002B2CF9AE}" pid="4" name="MSIP_Label_809c58d3-5cd9-42fe-847f-613d390a4aa6_SetDate">
    <vt:lpwstr>2024-01-03T12:22:37Z</vt:lpwstr>
  </property>
  <property fmtid="{D5CDD505-2E9C-101B-9397-08002B2CF9AE}" pid="5" name="MSIP_Label_809c58d3-5cd9-42fe-847f-613d390a4aa6_Method">
    <vt:lpwstr>Privileged</vt:lpwstr>
  </property>
  <property fmtid="{D5CDD505-2E9C-101B-9397-08002B2CF9AE}" pid="6" name="MSIP_Label_809c58d3-5cd9-42fe-847f-613d390a4aa6_Name">
    <vt:lpwstr>Controlled Disclosure</vt:lpwstr>
  </property>
  <property fmtid="{D5CDD505-2E9C-101B-9397-08002B2CF9AE}" pid="7" name="MSIP_Label_809c58d3-5cd9-42fe-847f-613d390a4aa6_SiteId">
    <vt:lpwstr>30f51673-ff88-423e-bee3-3b57203338e7</vt:lpwstr>
  </property>
  <property fmtid="{D5CDD505-2E9C-101B-9397-08002B2CF9AE}" pid="8" name="MSIP_Label_809c58d3-5cd9-42fe-847f-613d390a4aa6_ActionId">
    <vt:lpwstr>9a842a23-58a4-406b-8b3a-1988535837cd</vt:lpwstr>
  </property>
  <property fmtid="{D5CDD505-2E9C-101B-9397-08002B2CF9AE}" pid="9" name="MSIP_Label_809c58d3-5cd9-42fe-847f-613d390a4aa6_ContentBits">
    <vt:lpwstr>1</vt:lpwstr>
  </property>
  <property fmtid="{D5CDD505-2E9C-101B-9397-08002B2CF9AE}" pid="10" name="ContentTypeId">
    <vt:lpwstr>0x0101007CE996DB1EE7F747B797058B7D6CF4ED</vt:lpwstr>
  </property>
</Properties>
</file>