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uracapital123.sharepoint.com/sites/DuraCapital/Shared Documents/Projects/Deloitte-Axcentium/Old Mutual Securities/Corporate bonds/"/>
    </mc:Choice>
  </mc:AlternateContent>
  <xr:revisionPtr revIDLastSave="54" documentId="8_{0610734B-B654-42C6-9384-9585B168D38C}" xr6:coauthVersionLast="47" xr6:coauthVersionMax="47" xr10:uidLastSave="{69ED6D32-B802-4D24-82D5-4986C4BBC5A8}"/>
  <bookViews>
    <workbookView minimized="1" xWindow="1152" yWindow="1152" windowWidth="13056" windowHeight="8772" tabRatio="692" firstSheet="2" activeTab="2" xr2:uid="{C57A1C9E-8485-9A43-B038-CBEBECF502D9}"/>
  </bookViews>
  <sheets>
    <sheet name="Market Inputs " sheetId="1" r:id="rId1"/>
    <sheet name="Valuation Summary" sheetId="11" r:id="rId2"/>
    <sheet name="Richaw $5m" sheetId="3" r:id="rId3"/>
    <sheet name="Richaw $205k" sheetId="4" r:id="rId4"/>
    <sheet name="Centragrid" sheetId="5" r:id="rId5"/>
    <sheet name="GZH" sheetId="6" r:id="rId6"/>
    <sheet name="Nhimbe" sheetId="7" r:id="rId7"/>
    <sheet name="Solgas $5m" sheetId="8" r:id="rId8"/>
    <sheet name="Solgas $518k" sheetId="12" r:id="rId9"/>
    <sheet name="Glytime " sheetId="9" r:id="rId10"/>
    <sheet name="Zimcampus" sheetId="10" r:id="rId11"/>
  </sheets>
  <externalReferences>
    <externalReference r:id="rId12"/>
    <externalReference r:id="rId13"/>
  </externalReferences>
  <definedNames>
    <definedName name="solver_adj" localSheetId="0" hidden="1">'Market Inputs '!$H$13:$H$18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'Market Inputs '!$F$19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23" i="3"/>
  <c r="G23" i="3"/>
  <c r="F24" i="3"/>
  <c r="H24" i="3" s="1"/>
  <c r="D29" i="3" s="1"/>
  <c r="F23" i="3"/>
  <c r="L20" i="11"/>
  <c r="D30" i="3"/>
  <c r="C23" i="3"/>
  <c r="L22" i="7"/>
  <c r="N22" i="7"/>
  <c r="L22" i="3"/>
  <c r="J23" i="3"/>
  <c r="E25" i="3"/>
  <c r="E24" i="3"/>
  <c r="N22" i="3"/>
  <c r="M23" i="3"/>
  <c r="N23" i="3" s="1"/>
  <c r="L14" i="11"/>
  <c r="N23" i="9"/>
  <c r="N24" i="9"/>
  <c r="N25" i="9"/>
  <c r="N26" i="9"/>
  <c r="N27" i="9"/>
  <c r="N28" i="9" s="1"/>
  <c r="N29" i="9" s="1"/>
  <c r="N22" i="9"/>
  <c r="N21" i="9"/>
  <c r="N26" i="12"/>
  <c r="N27" i="12"/>
  <c r="N28" i="12"/>
  <c r="N29" i="12"/>
  <c r="N30" i="12"/>
  <c r="N24" i="12"/>
  <c r="N23" i="12"/>
  <c r="M25" i="12"/>
  <c r="M26" i="12"/>
  <c r="M27" i="12"/>
  <c r="M28" i="12"/>
  <c r="M29" i="12"/>
  <c r="M30" i="12"/>
  <c r="M24" i="12"/>
  <c r="XFD1048550" i="1" a="1"/>
  <c r="XFD1048550" i="1" s="1"/>
  <c r="XFD1048551" i="1" a="1"/>
  <c r="XFD1048551" i="1" s="1"/>
  <c r="XFD1048552" i="1" a="1"/>
  <c r="XFD1048552" i="1" s="1"/>
  <c r="XFD1048553" i="1" a="1"/>
  <c r="XFD1048553" i="1"/>
  <c r="XFD1048554" i="1" a="1"/>
  <c r="XFD1048554" i="1"/>
  <c r="XFD1048555" i="1" a="1"/>
  <c r="XFD1048555" i="1"/>
  <c r="XFD1048556" i="1" a="1"/>
  <c r="XFD1048556" i="1" s="1"/>
  <c r="XFD1048557" i="1" a="1"/>
  <c r="XFD1048557" i="1" s="1"/>
  <c r="XFD1048558" i="1" a="1"/>
  <c r="XFD1048558" i="1"/>
  <c r="XFD1048559" i="1" a="1"/>
  <c r="XFD1048559" i="1"/>
  <c r="XFD1048560" i="1" a="1"/>
  <c r="XFD1048560" i="1"/>
  <c r="XFD1048561" i="1" a="1"/>
  <c r="XFD1048561" i="1" s="1"/>
  <c r="XFD1048562" i="1" a="1"/>
  <c r="XFD1048562" i="1" s="1"/>
  <c r="XFD1048563" i="1" a="1"/>
  <c r="XFD1048563" i="1"/>
  <c r="XFD1048564" i="1" a="1"/>
  <c r="XFD1048564" i="1"/>
  <c r="XFD1048565" i="1" a="1"/>
  <c r="XFD1048565" i="1"/>
  <c r="XFD1048566" i="1" a="1"/>
  <c r="XFD1048566" i="1"/>
  <c r="XFD1048567" i="1" a="1"/>
  <c r="XFD1048567" i="1"/>
  <c r="XFD1048568" i="1" a="1"/>
  <c r="XFD1048568" i="1" s="1"/>
  <c r="XFD1048569" i="1" a="1"/>
  <c r="XFD1048569" i="1"/>
  <c r="XFD1048570" i="1" a="1"/>
  <c r="XFD1048570" i="1"/>
  <c r="XFD1048571" i="1" a="1"/>
  <c r="XFD1048571" i="1"/>
  <c r="XFD1048572" i="1" a="1"/>
  <c r="XFD1048572" i="1"/>
  <c r="XFD1048573" i="1" a="1"/>
  <c r="XFD1048573" i="1"/>
  <c r="XFD1048574" i="1" a="1"/>
  <c r="XFD1048574" i="1" s="1"/>
  <c r="XFD1048575" i="1" a="1"/>
  <c r="XFD1048575" i="1"/>
  <c r="E21" i="8" l="1"/>
  <c r="O21" i="11"/>
  <c r="N21" i="11"/>
  <c r="J24" i="12" l="1"/>
  <c r="D28" i="8"/>
  <c r="M23" i="7"/>
  <c r="K28" i="6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23" i="3"/>
  <c r="L23" i="3"/>
  <c r="K24" i="4"/>
  <c r="K25" i="4"/>
  <c r="K26" i="4"/>
  <c r="K27" i="4"/>
  <c r="K28" i="4"/>
  <c r="K29" i="4"/>
  <c r="L22" i="4"/>
  <c r="K24" i="5"/>
  <c r="L23" i="5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27" i="6"/>
  <c r="L26" i="6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K23" i="7"/>
  <c r="L23" i="7"/>
  <c r="K21" i="8"/>
  <c r="D34" i="12"/>
  <c r="L20" i="8"/>
  <c r="L21" i="8" s="1"/>
  <c r="K24" i="12"/>
  <c r="L23" i="12"/>
  <c r="L24" i="12" s="1"/>
  <c r="L22" i="9"/>
  <c r="L23" i="9" s="1"/>
  <c r="K23" i="9"/>
  <c r="K24" i="9"/>
  <c r="K25" i="9"/>
  <c r="K26" i="9"/>
  <c r="K27" i="9"/>
  <c r="K28" i="9"/>
  <c r="K29" i="9"/>
  <c r="K22" i="9"/>
  <c r="L21" i="9"/>
  <c r="L24" i="9" l="1"/>
  <c r="L25" i="9" s="1"/>
  <c r="L26" i="9" s="1"/>
  <c r="L27" i="9" s="1"/>
  <c r="L28" i="9" s="1"/>
  <c r="L29" i="9" s="1"/>
  <c r="D26" i="10"/>
  <c r="L21" i="10"/>
  <c r="D27" i="7" l="1"/>
  <c r="D50" i="6"/>
  <c r="D44" i="5"/>
  <c r="D33" i="4"/>
  <c r="K23" i="4"/>
  <c r="L23" i="4" s="1"/>
  <c r="L24" i="4" s="1"/>
  <c r="L25" i="4" s="1"/>
  <c r="L26" i="4" s="1"/>
  <c r="L27" i="4" s="1"/>
  <c r="L28" i="4" s="1"/>
  <c r="L29" i="4" s="1"/>
  <c r="K18" i="11"/>
  <c r="J18" i="11"/>
  <c r="H18" i="11"/>
  <c r="F18" i="11"/>
  <c r="C18" i="11"/>
  <c r="E39" i="12"/>
  <c r="E40" i="12" s="1"/>
  <c r="D40" i="12"/>
  <c r="K25" i="12"/>
  <c r="L25" i="12" s="1"/>
  <c r="K26" i="12"/>
  <c r="K27" i="12"/>
  <c r="K28" i="12"/>
  <c r="K29" i="12"/>
  <c r="K30" i="12"/>
  <c r="D19" i="12"/>
  <c r="D18" i="12"/>
  <c r="D13" i="12"/>
  <c r="C51" i="12" s="1"/>
  <c r="I30" i="12" s="1"/>
  <c r="C12" i="12"/>
  <c r="I23" i="12"/>
  <c r="L26" i="12" l="1"/>
  <c r="L27" i="12" s="1"/>
  <c r="L28" i="12" s="1"/>
  <c r="L29" i="12" s="1"/>
  <c r="L30" i="12" s="1"/>
  <c r="G18" i="11"/>
  <c r="C50" i="12"/>
  <c r="I29" i="12" s="1"/>
  <c r="F40" i="12"/>
  <c r="C30" i="12" l="1"/>
  <c r="C29" i="12"/>
  <c r="C49" i="12"/>
  <c r="I28" i="12" s="1"/>
  <c r="E30" i="12" l="1"/>
  <c r="G30" i="12" s="1"/>
  <c r="N25" i="12"/>
  <c r="J29" i="12" s="1"/>
  <c r="F29" i="12" s="1"/>
  <c r="C48" i="12"/>
  <c r="I27" i="12" s="1"/>
  <c r="J28" i="12" l="1"/>
  <c r="F28" i="12" s="1"/>
  <c r="E29" i="12"/>
  <c r="G29" i="12" s="1"/>
  <c r="H29" i="12" s="1"/>
  <c r="J30" i="12"/>
  <c r="F30" i="12" s="1"/>
  <c r="H30" i="12" s="1"/>
  <c r="C28" i="12"/>
  <c r="C47" i="12"/>
  <c r="I26" i="12" s="1"/>
  <c r="J27" i="12" l="1"/>
  <c r="F27" i="12" s="1"/>
  <c r="E28" i="12"/>
  <c r="G28" i="12" s="1"/>
  <c r="H28" i="12" s="1"/>
  <c r="C27" i="12"/>
  <c r="C46" i="12"/>
  <c r="I25" i="12" l="1"/>
  <c r="C25" i="12" s="1"/>
  <c r="C45" i="12"/>
  <c r="E27" i="12"/>
  <c r="G27" i="12" s="1"/>
  <c r="H27" i="12" s="1"/>
  <c r="I24" i="12"/>
  <c r="F24" i="12" s="1"/>
  <c r="C26" i="12"/>
  <c r="J26" i="12" l="1"/>
  <c r="F26" i="12" s="1"/>
  <c r="J25" i="12"/>
  <c r="F25" i="12" s="1"/>
  <c r="C24" i="12"/>
  <c r="E26" i="12"/>
  <c r="G26" i="12" s="1"/>
  <c r="D15" i="12"/>
  <c r="D17" i="12"/>
  <c r="H26" i="12" l="1"/>
  <c r="E25" i="12"/>
  <c r="E24" i="12"/>
  <c r="G24" i="12" s="1"/>
  <c r="H24" i="12" s="1"/>
  <c r="G25" i="12" l="1"/>
  <c r="H25" i="12" s="1"/>
  <c r="D33" i="12" s="1"/>
  <c r="D35" i="12" l="1"/>
  <c r="M18" i="11" s="1"/>
  <c r="L18" i="11"/>
  <c r="D39" i="12"/>
  <c r="F39" i="12" s="1"/>
  <c r="F41" i="12" s="1"/>
  <c r="K20" i="11"/>
  <c r="K19" i="11"/>
  <c r="K17" i="11"/>
  <c r="K16" i="11"/>
  <c r="K15" i="11"/>
  <c r="K14" i="11"/>
  <c r="K13" i="11"/>
  <c r="K12" i="11"/>
  <c r="C20" i="11"/>
  <c r="C19" i="11"/>
  <c r="C17" i="11"/>
  <c r="C16" i="11"/>
  <c r="C15" i="11"/>
  <c r="C14" i="11"/>
  <c r="C13" i="11"/>
  <c r="C12" i="11"/>
  <c r="J20" i="11"/>
  <c r="J19" i="11"/>
  <c r="J17" i="11"/>
  <c r="J16" i="11"/>
  <c r="J15" i="11"/>
  <c r="J14" i="11"/>
  <c r="J13" i="11"/>
  <c r="J12" i="11"/>
  <c r="H20" i="11"/>
  <c r="H19" i="11"/>
  <c r="H17" i="11"/>
  <c r="H15" i="11"/>
  <c r="H14" i="11"/>
  <c r="H13" i="11"/>
  <c r="H12" i="11"/>
  <c r="F20" i="11"/>
  <c r="F19" i="11"/>
  <c r="F17" i="11"/>
  <c r="F16" i="11"/>
  <c r="F15" i="11"/>
  <c r="F14" i="11"/>
  <c r="F13" i="11"/>
  <c r="F12" i="11"/>
  <c r="D18" i="3"/>
  <c r="D16" i="4" l="1"/>
  <c r="I22" i="4" s="1"/>
  <c r="E31" i="10"/>
  <c r="E32" i="10" s="1"/>
  <c r="D32" i="10"/>
  <c r="K22" i="10"/>
  <c r="L22" i="10" s="1"/>
  <c r="K23" i="8"/>
  <c r="N26" i="6"/>
  <c r="D17" i="10"/>
  <c r="D16" i="10"/>
  <c r="N21" i="10"/>
  <c r="I21" i="10"/>
  <c r="C21" i="10" s="1"/>
  <c r="D12" i="10"/>
  <c r="I22" i="10" s="1"/>
  <c r="J22" i="10" s="1"/>
  <c r="C11" i="10"/>
  <c r="E38" i="9"/>
  <c r="E37" i="9"/>
  <c r="D33" i="9"/>
  <c r="D38" i="9" s="1"/>
  <c r="D17" i="9"/>
  <c r="D16" i="9"/>
  <c r="D12" i="9"/>
  <c r="G19" i="11" s="1"/>
  <c r="C11" i="9"/>
  <c r="E33" i="8"/>
  <c r="E32" i="8"/>
  <c r="D33" i="8"/>
  <c r="K22" i="8"/>
  <c r="L22" i="8" s="1"/>
  <c r="L23" i="8" s="1"/>
  <c r="M22" i="10" l="1"/>
  <c r="F22" i="10" s="1"/>
  <c r="M26" i="9"/>
  <c r="M22" i="9"/>
  <c r="M23" i="9"/>
  <c r="M24" i="9"/>
  <c r="M25" i="9"/>
  <c r="M27" i="9"/>
  <c r="M28" i="9"/>
  <c r="M29" i="9"/>
  <c r="F38" i="9"/>
  <c r="D14" i="10"/>
  <c r="G20" i="11"/>
  <c r="F32" i="10"/>
  <c r="C22" i="10"/>
  <c r="I21" i="9"/>
  <c r="C43" i="9"/>
  <c r="C44" i="9" s="1"/>
  <c r="C45" i="9" s="1"/>
  <c r="F33" i="8"/>
  <c r="N22" i="10" l="1"/>
  <c r="C46" i="9"/>
  <c r="I23" i="9" s="1"/>
  <c r="I22" i="9"/>
  <c r="J22" i="9" s="1"/>
  <c r="F22" i="9" s="1"/>
  <c r="C21" i="9"/>
  <c r="E22" i="10"/>
  <c r="G22" i="10" s="1"/>
  <c r="H22" i="10" s="1"/>
  <c r="D25" i="10" s="1"/>
  <c r="C23" i="9" l="1"/>
  <c r="J23" i="9"/>
  <c r="F23" i="9" s="1"/>
  <c r="C47" i="9"/>
  <c r="I24" i="9" s="1"/>
  <c r="J24" i="9" s="1"/>
  <c r="F24" i="9" s="1"/>
  <c r="C22" i="9"/>
  <c r="D31" i="10"/>
  <c r="F31" i="10" s="1"/>
  <c r="F33" i="10" s="1"/>
  <c r="D27" i="10"/>
  <c r="M20" i="11" s="1"/>
  <c r="D14" i="9"/>
  <c r="C48" i="9" l="1"/>
  <c r="I25" i="9" s="1"/>
  <c r="J25" i="9" s="1"/>
  <c r="F25" i="9" s="1"/>
  <c r="E22" i="9"/>
  <c r="G22" i="9" s="1"/>
  <c r="H22" i="9" s="1"/>
  <c r="E23" i="9"/>
  <c r="G23" i="9" s="1"/>
  <c r="H23" i="9" s="1"/>
  <c r="C24" i="9"/>
  <c r="D17" i="8"/>
  <c r="D16" i="8"/>
  <c r="N20" i="8"/>
  <c r="M21" i="8" s="1"/>
  <c r="C49" i="9" l="1"/>
  <c r="I26" i="9" s="1"/>
  <c r="J26" i="9" s="1"/>
  <c r="F26" i="9" s="1"/>
  <c r="E24" i="9"/>
  <c r="G24" i="9" s="1"/>
  <c r="H24" i="9" s="1"/>
  <c r="M22" i="8"/>
  <c r="C25" i="9"/>
  <c r="C50" i="9"/>
  <c r="I27" i="9" s="1"/>
  <c r="J27" i="9" l="1"/>
  <c r="F27" i="9" s="1"/>
  <c r="E25" i="9"/>
  <c r="G25" i="9" s="1"/>
  <c r="H25" i="9" s="1"/>
  <c r="C26" i="9"/>
  <c r="C51" i="9"/>
  <c r="I28" i="9" s="1"/>
  <c r="J28" i="9" s="1"/>
  <c r="F28" i="9" s="1"/>
  <c r="E26" i="9" l="1"/>
  <c r="G26" i="9" s="1"/>
  <c r="H26" i="9" s="1"/>
  <c r="C27" i="9"/>
  <c r="C52" i="9"/>
  <c r="I29" i="9" s="1"/>
  <c r="J29" i="9" s="1"/>
  <c r="F29" i="9" s="1"/>
  <c r="E27" i="9" l="1"/>
  <c r="G27" i="9" s="1"/>
  <c r="H27" i="9" s="1"/>
  <c r="C28" i="9"/>
  <c r="C29" i="9"/>
  <c r="E29" i="9" l="1"/>
  <c r="G29" i="9" s="1"/>
  <c r="H29" i="9" s="1"/>
  <c r="E28" i="9"/>
  <c r="G28" i="9" s="1"/>
  <c r="H28" i="9" s="1"/>
  <c r="D32" i="9" l="1"/>
  <c r="D34" i="9" s="1"/>
  <c r="G32" i="7"/>
  <c r="G31" i="7"/>
  <c r="D18" i="7"/>
  <c r="D17" i="7"/>
  <c r="M23" i="8"/>
  <c r="D12" i="8"/>
  <c r="G30" i="7"/>
  <c r="D16" i="7"/>
  <c r="I22" i="7" s="1"/>
  <c r="D13" i="7"/>
  <c r="E56" i="6"/>
  <c r="E55" i="6"/>
  <c r="D56" i="6"/>
  <c r="D21" i="6"/>
  <c r="D20" i="6"/>
  <c r="M46" i="6"/>
  <c r="D17" i="6"/>
  <c r="I26" i="6" s="1"/>
  <c r="D14" i="6"/>
  <c r="C13" i="6"/>
  <c r="D8" i="6"/>
  <c r="E49" i="5"/>
  <c r="E48" i="5"/>
  <c r="D49" i="5"/>
  <c r="D39" i="4"/>
  <c r="N23" i="5"/>
  <c r="N22" i="4"/>
  <c r="M23" i="4" s="1"/>
  <c r="M24" i="4"/>
  <c r="M25" i="3"/>
  <c r="M24" i="3"/>
  <c r="N24" i="3" s="1"/>
  <c r="D19" i="5"/>
  <c r="D18" i="5"/>
  <c r="D14" i="5"/>
  <c r="D17" i="5"/>
  <c r="I23" i="5" s="1"/>
  <c r="C13" i="5"/>
  <c r="E39" i="4"/>
  <c r="E38" i="4"/>
  <c r="E36" i="3"/>
  <c r="D18" i="4"/>
  <c r="D17" i="4"/>
  <c r="K24" i="3"/>
  <c r="L24" i="3" s="1"/>
  <c r="F49" i="5" l="1"/>
  <c r="M32" i="5"/>
  <c r="M33" i="5"/>
  <c r="M34" i="5"/>
  <c r="M24" i="5"/>
  <c r="M31" i="5"/>
  <c r="M35" i="5"/>
  <c r="N24" i="5"/>
  <c r="M36" i="5"/>
  <c r="M25" i="5"/>
  <c r="M37" i="5"/>
  <c r="M26" i="5"/>
  <c r="M38" i="5"/>
  <c r="M27" i="5"/>
  <c r="M39" i="5"/>
  <c r="M28" i="5"/>
  <c r="M29" i="5"/>
  <c r="M30" i="5"/>
  <c r="L19" i="11"/>
  <c r="D37" i="9"/>
  <c r="F37" i="9" s="1"/>
  <c r="F39" i="9" s="1"/>
  <c r="C69" i="5"/>
  <c r="I39" i="5" s="1"/>
  <c r="G14" i="11"/>
  <c r="C80" i="6"/>
  <c r="I46" i="6" s="1"/>
  <c r="G15" i="11"/>
  <c r="M19" i="11"/>
  <c r="C37" i="7"/>
  <c r="G16" i="11"/>
  <c r="C40" i="8"/>
  <c r="I23" i="8" s="1"/>
  <c r="G17" i="11"/>
  <c r="H16" i="11"/>
  <c r="C22" i="7"/>
  <c r="F56" i="6"/>
  <c r="C23" i="5"/>
  <c r="M25" i="4"/>
  <c r="F39" i="4"/>
  <c r="N23" i="4"/>
  <c r="N24" i="4" s="1"/>
  <c r="N21" i="8"/>
  <c r="C26" i="6"/>
  <c r="M42" i="6"/>
  <c r="M41" i="6"/>
  <c r="M44" i="6"/>
  <c r="M45" i="6"/>
  <c r="M29" i="6"/>
  <c r="M27" i="6"/>
  <c r="N27" i="6" s="1"/>
  <c r="M30" i="6"/>
  <c r="M33" i="6"/>
  <c r="M36" i="6"/>
  <c r="M35" i="6"/>
  <c r="M38" i="6"/>
  <c r="M32" i="6"/>
  <c r="M39" i="6"/>
  <c r="M31" i="6"/>
  <c r="M43" i="6"/>
  <c r="M28" i="6"/>
  <c r="M34" i="6"/>
  <c r="M37" i="6"/>
  <c r="M40" i="6"/>
  <c r="C68" i="5"/>
  <c r="I38" i="5" s="1"/>
  <c r="C79" i="6" l="1"/>
  <c r="I45" i="6" s="1"/>
  <c r="N25" i="5"/>
  <c r="N26" i="5" s="1"/>
  <c r="C39" i="8"/>
  <c r="I22" i="8" s="1"/>
  <c r="D15" i="7"/>
  <c r="I23" i="7" s="1"/>
  <c r="J23" i="7" s="1"/>
  <c r="F23" i="7" s="1"/>
  <c r="N22" i="8"/>
  <c r="N23" i="8" s="1"/>
  <c r="C38" i="8"/>
  <c r="I21" i="8" s="1"/>
  <c r="N28" i="6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C46" i="6"/>
  <c r="C39" i="5"/>
  <c r="C67" i="5"/>
  <c r="I37" i="5" s="1"/>
  <c r="J23" i="8" l="1"/>
  <c r="J22" i="8"/>
  <c r="F22" i="8" s="1"/>
  <c r="C78" i="6"/>
  <c r="I44" i="6" s="1"/>
  <c r="J45" i="6" s="1"/>
  <c r="J46" i="6"/>
  <c r="F46" i="6" s="1"/>
  <c r="F23" i="8"/>
  <c r="C23" i="7"/>
  <c r="E39" i="5"/>
  <c r="G39" i="5" s="1"/>
  <c r="D14" i="8"/>
  <c r="C45" i="6"/>
  <c r="N27" i="5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C38" i="5"/>
  <c r="C66" i="5"/>
  <c r="I36" i="5" s="1"/>
  <c r="C77" i="6" l="1"/>
  <c r="I43" i="6" s="1"/>
  <c r="J44" i="6"/>
  <c r="N38" i="5"/>
  <c r="J38" i="5"/>
  <c r="J37" i="5"/>
  <c r="E23" i="7"/>
  <c r="G23" i="7" s="1"/>
  <c r="H23" i="7" s="1"/>
  <c r="D26" i="7" s="1"/>
  <c r="F45" i="6"/>
  <c r="E46" i="6"/>
  <c r="G46" i="6"/>
  <c r="H46" i="6" s="1"/>
  <c r="F38" i="5"/>
  <c r="E38" i="5"/>
  <c r="G38" i="5" s="1"/>
  <c r="C44" i="6"/>
  <c r="C76" i="6"/>
  <c r="I42" i="6" s="1"/>
  <c r="C37" i="5"/>
  <c r="C65" i="5"/>
  <c r="I35" i="5" s="1"/>
  <c r="J43" i="6" l="1"/>
  <c r="H38" i="5"/>
  <c r="N39" i="5"/>
  <c r="J39" i="5"/>
  <c r="F39" i="5" s="1"/>
  <c r="H39" i="5" s="1"/>
  <c r="J36" i="5"/>
  <c r="F44" i="6"/>
  <c r="E45" i="6"/>
  <c r="G45" i="6"/>
  <c r="H45" i="6" s="1"/>
  <c r="F37" i="5"/>
  <c r="E37" i="5"/>
  <c r="G37" i="5" s="1"/>
  <c r="N23" i="7"/>
  <c r="C43" i="6"/>
  <c r="D18" i="6"/>
  <c r="C75" i="6"/>
  <c r="I41" i="6" s="1"/>
  <c r="C64" i="5"/>
  <c r="I34" i="5" s="1"/>
  <c r="C36" i="5"/>
  <c r="D13" i="4"/>
  <c r="C22" i="4"/>
  <c r="C12" i="4"/>
  <c r="D13" i="3"/>
  <c r="K25" i="3"/>
  <c r="L25" i="3" s="1"/>
  <c r="E35" i="3"/>
  <c r="D17" i="3"/>
  <c r="D16" i="3"/>
  <c r="I22" i="3" s="1"/>
  <c r="C22" i="3" s="1"/>
  <c r="J42" i="6" l="1"/>
  <c r="J35" i="5"/>
  <c r="C44" i="3"/>
  <c r="G12" i="11"/>
  <c r="C50" i="4"/>
  <c r="I29" i="4" s="1"/>
  <c r="G13" i="11"/>
  <c r="H37" i="5"/>
  <c r="F43" i="6"/>
  <c r="E44" i="6"/>
  <c r="G44" i="6"/>
  <c r="H44" i="6" s="1"/>
  <c r="F36" i="5"/>
  <c r="E36" i="5"/>
  <c r="G36" i="5" s="1"/>
  <c r="C49" i="4"/>
  <c r="I28" i="4" s="1"/>
  <c r="F32" i="7"/>
  <c r="H32" i="7" s="1"/>
  <c r="L16" i="11"/>
  <c r="O23" i="7"/>
  <c r="C74" i="6"/>
  <c r="I40" i="6" s="1"/>
  <c r="C42" i="6"/>
  <c r="C63" i="5"/>
  <c r="I33" i="5" s="1"/>
  <c r="C35" i="5"/>
  <c r="M28" i="4"/>
  <c r="M27" i="4"/>
  <c r="M26" i="4"/>
  <c r="M29" i="4"/>
  <c r="D36" i="3"/>
  <c r="F36" i="3" s="1"/>
  <c r="J41" i="6" l="1"/>
  <c r="H36" i="5"/>
  <c r="J34" i="5"/>
  <c r="C43" i="3"/>
  <c r="I25" i="3"/>
  <c r="D28" i="7"/>
  <c r="M16" i="11" s="1"/>
  <c r="F42" i="6"/>
  <c r="E43" i="6"/>
  <c r="G43" i="6"/>
  <c r="H43" i="6" s="1"/>
  <c r="F35" i="5"/>
  <c r="E35" i="5"/>
  <c r="G35" i="5" s="1"/>
  <c r="C48" i="4"/>
  <c r="I27" i="4" s="1"/>
  <c r="F31" i="7"/>
  <c r="C41" i="6"/>
  <c r="C73" i="6"/>
  <c r="I39" i="6" s="1"/>
  <c r="C34" i="5"/>
  <c r="C62" i="5"/>
  <c r="I32" i="5" s="1"/>
  <c r="N25" i="4"/>
  <c r="N26" i="4" s="1"/>
  <c r="N27" i="4" s="1"/>
  <c r="N28" i="4" s="1"/>
  <c r="N29" i="4" s="1"/>
  <c r="C29" i="4"/>
  <c r="J40" i="6" l="1"/>
  <c r="H35" i="5"/>
  <c r="J33" i="5"/>
  <c r="J29" i="4"/>
  <c r="F29" i="4" s="1"/>
  <c r="J28" i="4"/>
  <c r="F28" i="4" s="1"/>
  <c r="C25" i="3"/>
  <c r="C42" i="3"/>
  <c r="I23" i="3" s="1"/>
  <c r="I24" i="3"/>
  <c r="F41" i="6"/>
  <c r="E42" i="6"/>
  <c r="G42" i="6"/>
  <c r="H42" i="6" s="1"/>
  <c r="F34" i="5"/>
  <c r="E34" i="5"/>
  <c r="G34" i="5" s="1"/>
  <c r="C47" i="4"/>
  <c r="E29" i="4"/>
  <c r="G29" i="4" s="1"/>
  <c r="H31" i="7"/>
  <c r="H33" i="7" s="1"/>
  <c r="C72" i="6"/>
  <c r="I38" i="6" s="1"/>
  <c r="C40" i="6"/>
  <c r="C61" i="5"/>
  <c r="I31" i="5" s="1"/>
  <c r="F33" i="5"/>
  <c r="C33" i="5"/>
  <c r="C28" i="4"/>
  <c r="N25" i="3"/>
  <c r="J39" i="6" l="1"/>
  <c r="J32" i="5"/>
  <c r="F32" i="5" s="1"/>
  <c r="G25" i="3"/>
  <c r="C24" i="3"/>
  <c r="J24" i="3"/>
  <c r="J25" i="3"/>
  <c r="F25" i="3" s="1"/>
  <c r="D15" i="3"/>
  <c r="C46" i="4"/>
  <c r="I26" i="4"/>
  <c r="H34" i="5"/>
  <c r="F40" i="6"/>
  <c r="G41" i="6"/>
  <c r="H41" i="6" s="1"/>
  <c r="E41" i="6"/>
  <c r="E33" i="5"/>
  <c r="G33" i="5" s="1"/>
  <c r="H33" i="5" s="1"/>
  <c r="E28" i="4"/>
  <c r="G28" i="4" s="1"/>
  <c r="C71" i="6"/>
  <c r="I37" i="6" s="1"/>
  <c r="F39" i="6"/>
  <c r="C39" i="6"/>
  <c r="C60" i="5"/>
  <c r="I30" i="5" s="1"/>
  <c r="C32" i="5"/>
  <c r="C27" i="4"/>
  <c r="J38" i="6" l="1"/>
  <c r="F38" i="6" s="1"/>
  <c r="J31" i="5"/>
  <c r="J27" i="4"/>
  <c r="F27" i="4" s="1"/>
  <c r="H23" i="3"/>
  <c r="G24" i="3"/>
  <c r="H25" i="3"/>
  <c r="C45" i="4"/>
  <c r="I25" i="4"/>
  <c r="G40" i="6"/>
  <c r="H40" i="6" s="1"/>
  <c r="E40" i="6"/>
  <c r="E32" i="5"/>
  <c r="G32" i="5" s="1"/>
  <c r="H32" i="5" s="1"/>
  <c r="E27" i="4"/>
  <c r="G27" i="4" s="1"/>
  <c r="C38" i="6"/>
  <c r="C70" i="6"/>
  <c r="I36" i="6" s="1"/>
  <c r="C31" i="5"/>
  <c r="C59" i="5"/>
  <c r="I29" i="5" s="1"/>
  <c r="C26" i="4"/>
  <c r="D31" i="3" l="1"/>
  <c r="M12" i="11" s="1"/>
  <c r="J37" i="6"/>
  <c r="F37" i="6" s="1"/>
  <c r="J30" i="5"/>
  <c r="J26" i="4"/>
  <c r="F26" i="4" s="1"/>
  <c r="C44" i="4"/>
  <c r="I23" i="4" s="1"/>
  <c r="J23" i="4" s="1"/>
  <c r="F23" i="4" s="1"/>
  <c r="I24" i="4"/>
  <c r="J24" i="4" s="1"/>
  <c r="F24" i="4" s="1"/>
  <c r="E39" i="6"/>
  <c r="G39" i="6"/>
  <c r="H39" i="6" s="1"/>
  <c r="F31" i="5"/>
  <c r="E31" i="5"/>
  <c r="G31" i="5" s="1"/>
  <c r="E26" i="4"/>
  <c r="G26" i="4" s="1"/>
  <c r="C69" i="6"/>
  <c r="I35" i="6" s="1"/>
  <c r="C37" i="6"/>
  <c r="C58" i="5"/>
  <c r="I28" i="5" s="1"/>
  <c r="C30" i="5"/>
  <c r="C25" i="4"/>
  <c r="D35" i="3" l="1"/>
  <c r="F35" i="3" s="1"/>
  <c r="F37" i="3" s="1"/>
  <c r="L12" i="11"/>
  <c r="L21" i="11" s="1"/>
  <c r="J36" i="6"/>
  <c r="H31" i="5"/>
  <c r="J29" i="5"/>
  <c r="F29" i="5" s="1"/>
  <c r="J25" i="4"/>
  <c r="F25" i="4" s="1"/>
  <c r="E38" i="6"/>
  <c r="G38" i="6"/>
  <c r="H38" i="6" s="1"/>
  <c r="F30" i="5"/>
  <c r="E30" i="5"/>
  <c r="G30" i="5" s="1"/>
  <c r="E25" i="4"/>
  <c r="G25" i="4" s="1"/>
  <c r="C68" i="6"/>
  <c r="I34" i="6" s="1"/>
  <c r="C36" i="6"/>
  <c r="C29" i="5"/>
  <c r="C57" i="5"/>
  <c r="I27" i="5" s="1"/>
  <c r="J28" i="5" s="1"/>
  <c r="C24" i="4"/>
  <c r="D15" i="4"/>
  <c r="C23" i="4"/>
  <c r="J35" i="6" l="1"/>
  <c r="F35" i="6" s="1"/>
  <c r="H30" i="5"/>
  <c r="F36" i="6"/>
  <c r="G37" i="6"/>
  <c r="H37" i="6" s="1"/>
  <c r="E37" i="6"/>
  <c r="E29" i="5"/>
  <c r="G29" i="5" s="1"/>
  <c r="H29" i="5" s="1"/>
  <c r="E23" i="4"/>
  <c r="G23" i="4" s="1"/>
  <c r="H23" i="4" s="1"/>
  <c r="E24" i="4"/>
  <c r="G24" i="4" s="1"/>
  <c r="C35" i="6"/>
  <c r="C67" i="6"/>
  <c r="I33" i="6" s="1"/>
  <c r="C56" i="5"/>
  <c r="I26" i="5" s="1"/>
  <c r="F28" i="5"/>
  <c r="C28" i="5"/>
  <c r="J34" i="6" l="1"/>
  <c r="J27" i="5"/>
  <c r="E36" i="6"/>
  <c r="G36" i="6"/>
  <c r="H36" i="6" s="1"/>
  <c r="E28" i="5"/>
  <c r="G28" i="5" s="1"/>
  <c r="H28" i="5" s="1"/>
  <c r="C34" i="6"/>
  <c r="C66" i="6"/>
  <c r="I32" i="6" s="1"/>
  <c r="C27" i="5"/>
  <c r="C55" i="5"/>
  <c r="I25" i="5" s="1"/>
  <c r="H24" i="4"/>
  <c r="H25" i="4"/>
  <c r="H26" i="4"/>
  <c r="H27" i="4"/>
  <c r="H29" i="4"/>
  <c r="H28" i="4"/>
  <c r="D32" i="4" l="1"/>
  <c r="L13" i="11" s="1"/>
  <c r="J33" i="6"/>
  <c r="J26" i="5"/>
  <c r="F26" i="5" s="1"/>
  <c r="F34" i="6"/>
  <c r="E35" i="6"/>
  <c r="G35" i="6"/>
  <c r="H35" i="6" s="1"/>
  <c r="F27" i="5"/>
  <c r="E27" i="5"/>
  <c r="G27" i="5" s="1"/>
  <c r="C33" i="6"/>
  <c r="C65" i="6"/>
  <c r="I31" i="6" s="1"/>
  <c r="C26" i="5"/>
  <c r="C54" i="5"/>
  <c r="I24" i="5" s="1"/>
  <c r="J32" i="6" l="1"/>
  <c r="C24" i="5"/>
  <c r="J24" i="5"/>
  <c r="F24" i="5" s="1"/>
  <c r="J25" i="5"/>
  <c r="H27" i="5"/>
  <c r="F33" i="6"/>
  <c r="G34" i="6"/>
  <c r="H34" i="6" s="1"/>
  <c r="E34" i="6"/>
  <c r="E26" i="5"/>
  <c r="G26" i="5" s="1"/>
  <c r="H26" i="5" s="1"/>
  <c r="C32" i="6"/>
  <c r="C64" i="6"/>
  <c r="I30" i="6" s="1"/>
  <c r="F32" i="6"/>
  <c r="C25" i="5"/>
  <c r="D16" i="5"/>
  <c r="D34" i="4"/>
  <c r="M13" i="11" s="1"/>
  <c r="D38" i="4"/>
  <c r="F38" i="4" s="1"/>
  <c r="F40" i="4" s="1"/>
  <c r="J31" i="6" l="1"/>
  <c r="F31" i="6" s="1"/>
  <c r="E33" i="6"/>
  <c r="G33" i="6"/>
  <c r="H33" i="6" s="1"/>
  <c r="F25" i="5"/>
  <c r="E25" i="5"/>
  <c r="G25" i="5" s="1"/>
  <c r="C31" i="6"/>
  <c r="C63" i="6"/>
  <c r="I29" i="6" s="1"/>
  <c r="J30" i="6" l="1"/>
  <c r="H25" i="5"/>
  <c r="E32" i="6"/>
  <c r="G32" i="6"/>
  <c r="H32" i="6" s="1"/>
  <c r="E24" i="5"/>
  <c r="G24" i="5" s="1"/>
  <c r="H24" i="5" s="1"/>
  <c r="C62" i="6"/>
  <c r="I28" i="6" s="1"/>
  <c r="C30" i="6"/>
  <c r="J29" i="6" l="1"/>
  <c r="F29" i="6" s="1"/>
  <c r="D43" i="5"/>
  <c r="F30" i="6"/>
  <c r="G31" i="6"/>
  <c r="H31" i="6" s="1"/>
  <c r="E31" i="6"/>
  <c r="C29" i="6"/>
  <c r="C61" i="6"/>
  <c r="I27" i="6" l="1"/>
  <c r="D45" i="5"/>
  <c r="M14" i="11" s="1"/>
  <c r="D48" i="5"/>
  <c r="F48" i="5" s="1"/>
  <c r="F50" i="5" s="1"/>
  <c r="E30" i="6"/>
  <c r="G30" i="6"/>
  <c r="H30" i="6" s="1"/>
  <c r="D16" i="6"/>
  <c r="C28" i="6"/>
  <c r="J27" i="6" l="1"/>
  <c r="F27" i="6" s="1"/>
  <c r="J28" i="6"/>
  <c r="F28" i="6" s="1"/>
  <c r="G29" i="6"/>
  <c r="H29" i="6" s="1"/>
  <c r="E29" i="6"/>
  <c r="C27" i="6"/>
  <c r="E28" i="6" l="1"/>
  <c r="G28" i="6"/>
  <c r="H28" i="6" s="1"/>
  <c r="G27" i="6"/>
  <c r="H27" i="6" s="1"/>
  <c r="D49" i="6" l="1"/>
  <c r="D51" i="6" s="1"/>
  <c r="E27" i="6"/>
  <c r="L15" i="11" l="1"/>
  <c r="D55" i="6" l="1"/>
  <c r="F55" i="6" s="1"/>
  <c r="F57" i="6" s="1"/>
  <c r="M15" i="11"/>
  <c r="C21" i="8"/>
  <c r="G21" i="8" l="1"/>
  <c r="C22" i="8"/>
  <c r="E22" i="8" l="1"/>
  <c r="G22" i="8" s="1"/>
  <c r="H22" i="8" s="1"/>
  <c r="I20" i="8"/>
  <c r="J21" i="8" s="1"/>
  <c r="F21" i="8" s="1"/>
  <c r="H21" i="8" s="1"/>
  <c r="C23" i="8"/>
  <c r="E23" i="8" l="1"/>
  <c r="G23" i="8" s="1"/>
  <c r="H23" i="8" s="1"/>
  <c r="D27" i="8" s="1"/>
  <c r="C20" i="8"/>
  <c r="D32" i="8" l="1"/>
  <c r="F32" i="8" s="1"/>
  <c r="F34" i="8" s="1"/>
  <c r="D29" i="8"/>
  <c r="M17" i="11" s="1"/>
  <c r="M21" i="11" s="1"/>
  <c r="L17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<sst xmlns="http://schemas.openxmlformats.org/spreadsheetml/2006/main" count="460" uniqueCount="128">
  <si>
    <t>Valuation Date: December 31,2024</t>
  </si>
  <si>
    <t>BB Credit Spreads</t>
  </si>
  <si>
    <t>BB Ticker</t>
  </si>
  <si>
    <t>Term (yr)</t>
  </si>
  <si>
    <t>Rate (Actual)</t>
  </si>
  <si>
    <t>NSS</t>
  </si>
  <si>
    <t>MUR</t>
  </si>
  <si>
    <t>USOSFRC Curncy</t>
  </si>
  <si>
    <t>EXX</t>
  </si>
  <si>
    <t>USOSFRF Curncy</t>
  </si>
  <si>
    <t>THA</t>
  </si>
  <si>
    <t>USOSFR1 Curncy</t>
  </si>
  <si>
    <t>USOSFR2 Curncy</t>
  </si>
  <si>
    <t>Other market instruments</t>
  </si>
  <si>
    <t>USOSFR3 Curncy</t>
  </si>
  <si>
    <t>Exchange rate</t>
  </si>
  <si>
    <t>USOSFR4 Curncy</t>
  </si>
  <si>
    <t>Zimbabwe Country Risk Premium</t>
  </si>
  <si>
    <t>USOSFR5 Curncy</t>
  </si>
  <si>
    <t>USOSFR6 Curncy</t>
  </si>
  <si>
    <t>USOSFR7 Curncy</t>
  </si>
  <si>
    <t>Inputs</t>
  </si>
  <si>
    <t>Values</t>
  </si>
  <si>
    <t>USOSFR8 Curncy</t>
  </si>
  <si>
    <t>B0</t>
  </si>
  <si>
    <t>USOSFR9 Curncy</t>
  </si>
  <si>
    <t>B1</t>
  </si>
  <si>
    <t>USOSFR10 Curncy</t>
  </si>
  <si>
    <t>B2</t>
  </si>
  <si>
    <t>USOSFR15 Curncy</t>
  </si>
  <si>
    <t>B3</t>
  </si>
  <si>
    <t>USOSFR20 Curncy</t>
  </si>
  <si>
    <t>T1</t>
  </si>
  <si>
    <t>USOSFR30 Curncy</t>
  </si>
  <si>
    <t>T2</t>
  </si>
  <si>
    <t>Date</t>
  </si>
  <si>
    <t>Holiday Name</t>
  </si>
  <si>
    <t>New Year's Day</t>
  </si>
  <si>
    <t>Robert Mugabe National Youth Day</t>
  </si>
  <si>
    <t>Good Friday</t>
  </si>
  <si>
    <t>Easter Saturday</t>
  </si>
  <si>
    <t>Easter Sunday</t>
  </si>
  <si>
    <t>Easter Monday</t>
  </si>
  <si>
    <t>Independence Day</t>
  </si>
  <si>
    <t>Workers' Day</t>
  </si>
  <si>
    <t>Africa Day</t>
  </si>
  <si>
    <t>Heroes' Day</t>
  </si>
  <si>
    <t>Defence Forces Day</t>
  </si>
  <si>
    <t>National Unity Day</t>
  </si>
  <si>
    <t>Christmas Day</t>
  </si>
  <si>
    <t>Boxing Day</t>
  </si>
  <si>
    <t>SUMMARY OF RESULTS</t>
  </si>
  <si>
    <t>Corporate Bonds</t>
  </si>
  <si>
    <t>DURA</t>
  </si>
  <si>
    <t>OMLAC</t>
  </si>
  <si>
    <t>Counterparty</t>
  </si>
  <si>
    <t>Bond Holder</t>
  </si>
  <si>
    <t>Instrument Type</t>
  </si>
  <si>
    <t>Issue Date</t>
  </si>
  <si>
    <t>Maturity Date</t>
  </si>
  <si>
    <t>Notional Amount</t>
  </si>
  <si>
    <t>Currency</t>
  </si>
  <si>
    <t>Coupon/Interest Rate</t>
  </si>
  <si>
    <t>Coupon Payment Frequency</t>
  </si>
  <si>
    <t>Present Value</t>
  </si>
  <si>
    <t>Impairment</t>
  </si>
  <si>
    <t>Bond</t>
  </si>
  <si>
    <t>USD</t>
  </si>
  <si>
    <t>Debt</t>
  </si>
  <si>
    <t>Richaw</t>
  </si>
  <si>
    <t>Valuation Date</t>
  </si>
  <si>
    <t>Principal</t>
  </si>
  <si>
    <t>Interest Rate</t>
  </si>
  <si>
    <t>Interest Pmt Fequency</t>
  </si>
  <si>
    <t>Semi-annually</t>
  </si>
  <si>
    <t>Interest Accrued to 31 December 2024</t>
  </si>
  <si>
    <t>Accrued but unpaid ( Assumed it will be paid equally in the remaining coupon dates)</t>
  </si>
  <si>
    <t>Next Coupon Payment Date</t>
  </si>
  <si>
    <t>Solar companies credit spread</t>
  </si>
  <si>
    <t>Bloomberg</t>
  </si>
  <si>
    <t>Country risk premium</t>
  </si>
  <si>
    <t>http://pages.stern.nyu.edu/~adamodar/New_Home_Page/datafile/ctryprem.html</t>
  </si>
  <si>
    <t>Coupon dates</t>
  </si>
  <si>
    <t>Term</t>
  </si>
  <si>
    <t>Interpolated Nelson Seigel-Svenson</t>
  </si>
  <si>
    <t>Discount rate</t>
  </si>
  <si>
    <t>CF</t>
  </si>
  <si>
    <t>PVIF</t>
  </si>
  <si>
    <t>PV</t>
  </si>
  <si>
    <t>Coupon Dates</t>
  </si>
  <si>
    <t>Interest</t>
  </si>
  <si>
    <t>Accrued Interest Paid</t>
  </si>
  <si>
    <t>Accrued Interest Balance</t>
  </si>
  <si>
    <t>Balance</t>
  </si>
  <si>
    <t>Carrying Value</t>
  </si>
  <si>
    <t>Exch rate</t>
  </si>
  <si>
    <t>ZwG</t>
  </si>
  <si>
    <t>Fair value</t>
  </si>
  <si>
    <t>Carrying value</t>
  </si>
  <si>
    <t>Interest Payment Dates</t>
  </si>
  <si>
    <t>century got</t>
  </si>
  <si>
    <t>Accrued Interest</t>
  </si>
  <si>
    <t>.</t>
  </si>
  <si>
    <t>Centragrid</t>
  </si>
  <si>
    <t>Committed Capital</t>
  </si>
  <si>
    <t>Accrued InterestBalance</t>
  </si>
  <si>
    <t>GZH</t>
  </si>
  <si>
    <t>Principal ( Amount Deployed)</t>
  </si>
  <si>
    <t>Future Interest payment Dates</t>
  </si>
  <si>
    <t>Remaining payments</t>
  </si>
  <si>
    <t>Accrued Interest Balance Paid</t>
  </si>
  <si>
    <t>Nhimbe</t>
  </si>
  <si>
    <t>Annually</t>
  </si>
  <si>
    <t>Interest Accrued to 30 June 2024</t>
  </si>
  <si>
    <t>Accrued InterestPaid</t>
  </si>
  <si>
    <t>Reducing Balance</t>
  </si>
  <si>
    <t>Capitalised Balance-Equal Instalments</t>
  </si>
  <si>
    <t xml:space="preserve">Impairment </t>
  </si>
  <si>
    <t>Business description:</t>
  </si>
  <si>
    <t>Secured, convertible debenture</t>
  </si>
  <si>
    <t>A blueberry farm located in Marondera</t>
  </si>
  <si>
    <t>Solgas</t>
  </si>
  <si>
    <t>Unpaid Interest Accrued to 31 December 2024</t>
  </si>
  <si>
    <t>Interest payment dates</t>
  </si>
  <si>
    <t>Glytime</t>
  </si>
  <si>
    <t>Zimcampus</t>
  </si>
  <si>
    <t>Key Assumptions</t>
  </si>
  <si>
    <t>* The loan will mature in 6 months and the coupon will be paid on maturity of the loan facility (bullet payment)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</si>
</sst>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_(* #,##0_);_(* \(#,##0\);_(* &quot;-&quot;??_);_(@_)"/>
    <numFmt numFmtId="167" formatCode="0.0000"/>
    <numFmt numFmtId="168" formatCode="_-* #,##0_-;\-* #,##0_-;_-* &quot;-&quot;??_-;_-@_-"/>
    <numFmt numFmtId="169" formatCode="_-* #,##0.0000_-;\-* #,##0.0000_-;_-* &quot;-&quot;??_-;_-@_-"/>
    <numFmt numFmtId="170" formatCode="_-[$US$-3009]* #,##0.00_-;\-[$US$-3009]* #,##0.00_-;_-[$US$-3009]* &quot;-&quot;??_-;_-@_-"/>
    <numFmt numFmtId="171" formatCode="_-[$US$-3009]* #,##0_-;\-[$US$-3009]* #,##0_-;_-[$US$-3009]* &quot;-&quot;??_-;_-@_-"/>
    <numFmt numFmtId="172" formatCode="_(&quot;$&quot;* #,##0_);_(&quot;$&quot;* \(#,##0\);_(&quot;$&quot;* &quot;-&quot;??_);_(@_)"/>
    <numFmt numFmtId="173" formatCode="0.000"/>
    <numFmt numFmtId="174" formatCode="#,##0.00;\(#,##0.00\)"/>
  </numFmts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entury Gothic"/>
      <family val="2"/>
    </font>
    <font>
      <b/>
      <sz val="11"/>
      <color rgb="FFFFFFFF"/>
      <name val="Century Gothic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entury Gothic"/>
      <family val="2"/>
    </font>
    <font>
      <b/>
      <sz val="11"/>
      <color rgb="FFFF0000"/>
      <name val="Century Gothic"/>
      <family val="2"/>
    </font>
    <font>
      <u/>
      <sz val="11"/>
      <color theme="1"/>
      <name val="Century Gothic"/>
      <family val="2"/>
    </font>
    <font>
      <i/>
      <u/>
      <sz val="11"/>
      <color theme="1"/>
      <name val="Century Gothic"/>
      <family val="2"/>
    </font>
    <font>
      <b/>
      <i/>
      <u/>
      <sz val="10"/>
      <color theme="1"/>
      <name val="Century Gothic"/>
      <family val="2"/>
    </font>
    <font>
      <sz val="11"/>
      <color theme="1"/>
      <name val="Century Gothic"/>
      <family val="1"/>
    </font>
    <font>
      <b/>
      <sz val="11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54F80"/>
        <bgColor indexed="64"/>
      </patternFill>
    </fill>
    <fill>
      <patternFill patternType="solid">
        <fgColor rgb="FF0BACC8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61">
    <xf numFmtId="0" fontId="0" fillId="0" borderId="0" xfId="0"/>
    <xf numFmtId="0" fontId="2" fillId="0" borderId="2" xfId="0" applyFont="1" applyBorder="1"/>
    <xf numFmtId="0" fontId="0" fillId="0" borderId="2" xfId="0" applyBorder="1"/>
    <xf numFmtId="10" fontId="0" fillId="0" borderId="2" xfId="0" applyNumberFormat="1" applyBorder="1"/>
    <xf numFmtId="9" fontId="0" fillId="0" borderId="2" xfId="0" applyNumberFormat="1" applyBorder="1"/>
    <xf numFmtId="0" fontId="3" fillId="0" borderId="2" xfId="0" applyFont="1" applyBorder="1"/>
    <xf numFmtId="0" fontId="7" fillId="2" borderId="0" xfId="0" applyFont="1" applyFill="1" applyAlignment="1">
      <alignment horizontal="left"/>
    </xf>
    <xf numFmtId="10" fontId="0" fillId="0" borderId="2" xfId="2" applyNumberFormat="1" applyFont="1" applyBorder="1"/>
    <xf numFmtId="167" fontId="0" fillId="0" borderId="2" xfId="2" applyNumberFormat="1" applyFont="1" applyBorder="1"/>
    <xf numFmtId="0" fontId="0" fillId="0" borderId="5" xfId="0" applyBorder="1"/>
    <xf numFmtId="2" fontId="4" fillId="0" borderId="5" xfId="0" applyNumberFormat="1" applyFont="1" applyBorder="1"/>
    <xf numFmtId="0" fontId="0" fillId="0" borderId="3" xfId="0" applyBorder="1"/>
    <xf numFmtId="2" fontId="4" fillId="0" borderId="3" xfId="0" applyNumberFormat="1" applyFont="1" applyBorder="1"/>
    <xf numFmtId="0" fontId="6" fillId="0" borderId="2" xfId="0" applyFont="1" applyBorder="1"/>
    <xf numFmtId="0" fontId="4" fillId="0" borderId="8" xfId="0" applyFont="1" applyBorder="1"/>
    <xf numFmtId="0" fontId="4" fillId="0" borderId="0" xfId="0" applyFont="1"/>
    <xf numFmtId="0" fontId="10" fillId="0" borderId="2" xfId="0" applyFont="1" applyBorder="1"/>
    <xf numFmtId="0" fontId="10" fillId="0" borderId="2" xfId="0" applyFont="1" applyBorder="1" applyAlignment="1">
      <alignment horizontal="left"/>
    </xf>
    <xf numFmtId="15" fontId="10" fillId="0" borderId="2" xfId="0" applyNumberFormat="1" applyFont="1" applyBorder="1" applyAlignment="1">
      <alignment horizontal="left"/>
    </xf>
    <xf numFmtId="4" fontId="10" fillId="0" borderId="2" xfId="0" applyNumberFormat="1" applyFont="1" applyBorder="1" applyAlignment="1">
      <alignment horizontal="left"/>
    </xf>
    <xf numFmtId="10" fontId="10" fillId="0" borderId="2" xfId="0" applyNumberFormat="1" applyFont="1" applyBorder="1" applyAlignment="1">
      <alignment horizontal="left"/>
    </xf>
    <xf numFmtId="9" fontId="10" fillId="0" borderId="2" xfId="0" applyNumberFormat="1" applyFont="1" applyBorder="1" applyAlignment="1">
      <alignment horizontal="left"/>
    </xf>
    <xf numFmtId="166" fontId="10" fillId="0" borderId="2" xfId="4" applyNumberFormat="1" applyFont="1" applyFill="1" applyBorder="1" applyAlignment="1">
      <alignment horizontal="left"/>
    </xf>
    <xf numFmtId="0" fontId="11" fillId="0" borderId="8" xfId="0" applyFont="1" applyBorder="1"/>
    <xf numFmtId="0" fontId="11" fillId="0" borderId="0" xfId="0" applyFont="1"/>
    <xf numFmtId="44" fontId="12" fillId="0" borderId="0" xfId="0" applyNumberFormat="1" applyFont="1"/>
    <xf numFmtId="0" fontId="13" fillId="0" borderId="2" xfId="0" applyFont="1" applyBorder="1"/>
    <xf numFmtId="43" fontId="13" fillId="0" borderId="2" xfId="4" applyFont="1" applyFill="1" applyBorder="1"/>
    <xf numFmtId="43" fontId="10" fillId="0" borderId="2" xfId="4" applyFont="1" applyFill="1" applyBorder="1"/>
    <xf numFmtId="44" fontId="10" fillId="0" borderId="2" xfId="3" applyFont="1" applyFill="1" applyBorder="1"/>
    <xf numFmtId="15" fontId="10" fillId="0" borderId="2" xfId="0" applyNumberFormat="1" applyFont="1" applyBorder="1"/>
    <xf numFmtId="10" fontId="10" fillId="0" borderId="2" xfId="2" applyNumberFormat="1" applyFont="1" applyFill="1" applyBorder="1"/>
    <xf numFmtId="44" fontId="14" fillId="0" borderId="0" xfId="3" applyFont="1" applyFill="1" applyBorder="1"/>
    <xf numFmtId="43" fontId="13" fillId="0" borderId="0" xfId="4" applyFont="1" applyFill="1" applyBorder="1"/>
    <xf numFmtId="43" fontId="10" fillId="0" borderId="0" xfId="4" applyFont="1" applyFill="1" applyBorder="1"/>
    <xf numFmtId="43" fontId="10" fillId="0" borderId="0" xfId="1" applyFont="1" applyFill="1" applyBorder="1"/>
    <xf numFmtId="15" fontId="10" fillId="0" borderId="0" xfId="4" applyNumberFormat="1" applyFont="1" applyFill="1" applyBorder="1"/>
    <xf numFmtId="15" fontId="9" fillId="0" borderId="0" xfId="0" applyNumberFormat="1" applyFont="1"/>
    <xf numFmtId="0" fontId="10" fillId="0" borderId="0" xfId="0" applyFont="1"/>
    <xf numFmtId="44" fontId="10" fillId="0" borderId="0" xfId="3" applyFont="1" applyFill="1" applyBorder="1"/>
    <xf numFmtId="15" fontId="10" fillId="0" borderId="0" xfId="0" applyNumberFormat="1" applyFont="1"/>
    <xf numFmtId="0" fontId="13" fillId="0" borderId="2" xfId="0" applyFont="1" applyBorder="1" applyAlignment="1">
      <alignment horizontal="right"/>
    </xf>
    <xf numFmtId="44" fontId="13" fillId="0" borderId="2" xfId="0" applyNumberFormat="1" applyFont="1" applyBorder="1" applyAlignment="1">
      <alignment horizontal="right"/>
    </xf>
    <xf numFmtId="44" fontId="10" fillId="0" borderId="2" xfId="0" applyNumberFormat="1" applyFont="1" applyBorder="1"/>
    <xf numFmtId="167" fontId="10" fillId="0" borderId="2" xfId="0" applyNumberFormat="1" applyFont="1" applyBorder="1"/>
    <xf numFmtId="164" fontId="10" fillId="0" borderId="2" xfId="0" applyNumberFormat="1" applyFont="1" applyBorder="1"/>
    <xf numFmtId="10" fontId="10" fillId="0" borderId="0" xfId="2" applyNumberFormat="1" applyFont="1" applyFill="1" applyBorder="1"/>
    <xf numFmtId="165" fontId="10" fillId="0" borderId="0" xfId="2" applyNumberFormat="1" applyFont="1" applyFill="1" applyBorder="1"/>
    <xf numFmtId="0" fontId="10" fillId="0" borderId="13" xfId="0" applyFont="1" applyBorder="1"/>
    <xf numFmtId="0" fontId="10" fillId="0" borderId="7" xfId="0" applyFont="1" applyBorder="1"/>
    <xf numFmtId="0" fontId="10" fillId="0" borderId="8" xfId="0" applyFont="1" applyBorder="1"/>
    <xf numFmtId="44" fontId="10" fillId="0" borderId="8" xfId="0" applyNumberFormat="1" applyFont="1" applyBorder="1"/>
    <xf numFmtId="0" fontId="0" fillId="0" borderId="8" xfId="0" applyBorder="1"/>
    <xf numFmtId="0" fontId="0" fillId="0" borderId="9" xfId="0" applyBorder="1"/>
    <xf numFmtId="0" fontId="13" fillId="0" borderId="0" xfId="0" applyFont="1"/>
    <xf numFmtId="0" fontId="0" fillId="0" borderId="11" xfId="0" applyBorder="1"/>
    <xf numFmtId="4" fontId="10" fillId="0" borderId="0" xfId="0" applyNumberFormat="1" applyFont="1"/>
    <xf numFmtId="4" fontId="13" fillId="0" borderId="0" xfId="0" applyNumberFormat="1" applyFont="1"/>
    <xf numFmtId="2" fontId="10" fillId="0" borderId="0" xfId="0" applyNumberFormat="1" applyFont="1"/>
    <xf numFmtId="14" fontId="10" fillId="0" borderId="0" xfId="0" applyNumberFormat="1" applyFont="1"/>
    <xf numFmtId="166" fontId="10" fillId="0" borderId="0" xfId="0" applyNumberFormat="1" applyFont="1"/>
    <xf numFmtId="164" fontId="13" fillId="0" borderId="0" xfId="0" applyNumberFormat="1" applyFont="1"/>
    <xf numFmtId="0" fontId="10" fillId="0" borderId="10" xfId="0" applyFont="1" applyBorder="1"/>
    <xf numFmtId="44" fontId="13" fillId="0" borderId="0" xfId="0" applyNumberFormat="1" applyFont="1"/>
    <xf numFmtId="0" fontId="14" fillId="0" borderId="0" xfId="0" applyFont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5" fillId="0" borderId="0" xfId="0" applyFont="1"/>
    <xf numFmtId="44" fontId="10" fillId="0" borderId="0" xfId="0" applyNumberFormat="1" applyFont="1"/>
    <xf numFmtId="0" fontId="13" fillId="0" borderId="0" xfId="0" applyFont="1" applyAlignment="1">
      <alignment horizontal="right"/>
    </xf>
    <xf numFmtId="164" fontId="10" fillId="0" borderId="0" xfId="0" applyNumberFormat="1" applyFont="1"/>
    <xf numFmtId="9" fontId="10" fillId="0" borderId="0" xfId="2" applyFont="1" applyFill="1" applyBorder="1"/>
    <xf numFmtId="0" fontId="10" fillId="0" borderId="2" xfId="0" applyFont="1" applyBorder="1" applyAlignment="1">
      <alignment horizontal="left" vertical="top"/>
    </xf>
    <xf numFmtId="15" fontId="10" fillId="0" borderId="2" xfId="0" applyNumberFormat="1" applyFont="1" applyBorder="1" applyAlignment="1">
      <alignment horizontal="left" vertical="top"/>
    </xf>
    <xf numFmtId="43" fontId="10" fillId="0" borderId="2" xfId="1" applyFont="1" applyFill="1" applyBorder="1" applyAlignment="1">
      <alignment horizontal="left" vertical="top"/>
    </xf>
    <xf numFmtId="4" fontId="10" fillId="0" borderId="2" xfId="0" applyNumberFormat="1" applyFont="1" applyBorder="1" applyAlignment="1">
      <alignment horizontal="left" vertical="top"/>
    </xf>
    <xf numFmtId="10" fontId="10" fillId="0" borderId="2" xfId="0" applyNumberFormat="1" applyFont="1" applyBorder="1" applyAlignment="1">
      <alignment horizontal="left" vertical="top"/>
    </xf>
    <xf numFmtId="9" fontId="10" fillId="0" borderId="2" xfId="0" applyNumberFormat="1" applyFont="1" applyBorder="1" applyAlignment="1">
      <alignment horizontal="left" vertical="top"/>
    </xf>
    <xf numFmtId="166" fontId="10" fillId="0" borderId="2" xfId="4" applyNumberFormat="1" applyFont="1" applyFill="1" applyBorder="1" applyAlignment="1">
      <alignment horizontal="left" vertical="top"/>
    </xf>
    <xf numFmtId="0" fontId="10" fillId="0" borderId="9" xfId="0" applyFont="1" applyBorder="1"/>
    <xf numFmtId="0" fontId="10" fillId="0" borderId="11" xfId="0" applyFont="1" applyBorder="1"/>
    <xf numFmtId="2" fontId="10" fillId="0" borderId="0" xfId="3" applyNumberFormat="1" applyFont="1" applyFill="1" applyBorder="1"/>
    <xf numFmtId="0" fontId="10" fillId="0" borderId="12" xfId="0" applyFont="1" applyBorder="1"/>
    <xf numFmtId="0" fontId="10" fillId="0" borderId="14" xfId="0" applyFont="1" applyBorder="1"/>
    <xf numFmtId="0" fontId="10" fillId="0" borderId="15" xfId="0" applyFont="1" applyBorder="1"/>
    <xf numFmtId="168" fontId="10" fillId="0" borderId="0" xfId="0" applyNumberFormat="1" applyFont="1"/>
    <xf numFmtId="168" fontId="10" fillId="0" borderId="0" xfId="1" applyNumberFormat="1" applyFont="1" applyFill="1" applyBorder="1"/>
    <xf numFmtId="15" fontId="10" fillId="0" borderId="0" xfId="0" applyNumberFormat="1" applyFont="1" applyAlignment="1">
      <alignment horizontal="left"/>
    </xf>
    <xf numFmtId="168" fontId="10" fillId="0" borderId="0" xfId="1" applyNumberFormat="1" applyFont="1" applyFill="1" applyBorder="1" applyAlignment="1">
      <alignment horizontal="left"/>
    </xf>
    <xf numFmtId="10" fontId="10" fillId="0" borderId="0" xfId="0" applyNumberFormat="1" applyFont="1" applyAlignment="1">
      <alignment horizontal="left"/>
    </xf>
    <xf numFmtId="10" fontId="10" fillId="0" borderId="0" xfId="0" applyNumberFormat="1" applyFont="1" applyAlignment="1">
      <alignment horizontal="left" vertical="top"/>
    </xf>
    <xf numFmtId="168" fontId="10" fillId="0" borderId="2" xfId="1" applyNumberFormat="1" applyFont="1" applyFill="1" applyBorder="1" applyAlignment="1">
      <alignment horizontal="left"/>
    </xf>
    <xf numFmtId="3" fontId="10" fillId="0" borderId="2" xfId="0" applyNumberFormat="1" applyFont="1" applyBorder="1" applyAlignment="1">
      <alignment horizontal="left"/>
    </xf>
    <xf numFmtId="168" fontId="10" fillId="0" borderId="2" xfId="1" applyNumberFormat="1" applyFont="1" applyFill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43" fontId="13" fillId="0" borderId="2" xfId="4" applyFont="1" applyFill="1" applyBorder="1" applyAlignment="1">
      <alignment horizontal="left"/>
    </xf>
    <xf numFmtId="0" fontId="13" fillId="0" borderId="2" xfId="0" applyFont="1" applyBorder="1" applyAlignment="1">
      <alignment horizontal="left" vertical="top"/>
    </xf>
    <xf numFmtId="43" fontId="13" fillId="0" borderId="2" xfId="4" applyFont="1" applyFill="1" applyBorder="1" applyAlignment="1">
      <alignment horizontal="left" vertical="top"/>
    </xf>
    <xf numFmtId="15" fontId="13" fillId="0" borderId="2" xfId="0" applyNumberFormat="1" applyFont="1" applyBorder="1" applyAlignment="1">
      <alignment horizontal="left"/>
    </xf>
    <xf numFmtId="10" fontId="10" fillId="0" borderId="15" xfId="2" applyNumberFormat="1" applyFont="1" applyFill="1" applyBorder="1"/>
    <xf numFmtId="10" fontId="10" fillId="0" borderId="0" xfId="4" applyNumberFormat="1" applyFont="1" applyFill="1" applyBorder="1"/>
    <xf numFmtId="170" fontId="10" fillId="0" borderId="2" xfId="4" applyNumberFormat="1" applyFont="1" applyFill="1" applyBorder="1" applyAlignment="1">
      <alignment horizontal="left" vertical="top"/>
    </xf>
    <xf numFmtId="2" fontId="10" fillId="0" borderId="2" xfId="4" applyNumberFormat="1" applyFont="1" applyFill="1" applyBorder="1"/>
    <xf numFmtId="10" fontId="10" fillId="0" borderId="2" xfId="4" applyNumberFormat="1" applyFont="1" applyFill="1" applyBorder="1"/>
    <xf numFmtId="169" fontId="10" fillId="0" borderId="0" xfId="0" applyNumberFormat="1" applyFont="1"/>
    <xf numFmtId="2" fontId="10" fillId="0" borderId="2" xfId="0" applyNumberFormat="1" applyFont="1" applyBorder="1"/>
    <xf numFmtId="172" fontId="10" fillId="0" borderId="2" xfId="0" applyNumberFormat="1" applyFont="1" applyBorder="1"/>
    <xf numFmtId="0" fontId="10" fillId="0" borderId="2" xfId="0" applyFont="1" applyBorder="1" applyAlignment="1">
      <alignment horizontal="right"/>
    </xf>
    <xf numFmtId="168" fontId="10" fillId="0" borderId="2" xfId="0" applyNumberFormat="1" applyFont="1" applyBorder="1"/>
    <xf numFmtId="0" fontId="13" fillId="0" borderId="0" xfId="0" applyFont="1" applyAlignment="1">
      <alignment horizontal="left"/>
    </xf>
    <xf numFmtId="171" fontId="10" fillId="0" borderId="0" xfId="0" applyNumberFormat="1" applyFont="1"/>
    <xf numFmtId="173" fontId="10" fillId="0" borderId="0" xfId="0" applyNumberFormat="1" applyFont="1"/>
    <xf numFmtId="43" fontId="10" fillId="0" borderId="2" xfId="4" applyFont="1" applyFill="1" applyBorder="1" applyAlignment="1">
      <alignment horizontal="left"/>
    </xf>
    <xf numFmtId="43" fontId="10" fillId="0" borderId="15" xfId="4" applyFont="1" applyFill="1" applyBorder="1"/>
    <xf numFmtId="0" fontId="10" fillId="0" borderId="15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43" fontId="10" fillId="0" borderId="11" xfId="4" applyFont="1" applyFill="1" applyBorder="1"/>
    <xf numFmtId="15" fontId="10" fillId="0" borderId="15" xfId="0" applyNumberFormat="1" applyFont="1" applyBorder="1" applyAlignment="1">
      <alignment horizontal="left"/>
    </xf>
    <xf numFmtId="4" fontId="10" fillId="0" borderId="15" xfId="0" applyNumberFormat="1" applyFont="1" applyBorder="1" applyAlignment="1">
      <alignment horizontal="left"/>
    </xf>
    <xf numFmtId="10" fontId="10" fillId="0" borderId="15" xfId="0" applyNumberFormat="1" applyFont="1" applyBorder="1" applyAlignment="1">
      <alignment horizontal="left"/>
    </xf>
    <xf numFmtId="9" fontId="10" fillId="0" borderId="15" xfId="0" applyNumberFormat="1" applyFont="1" applyBorder="1" applyAlignment="1">
      <alignment horizontal="left"/>
    </xf>
    <xf numFmtId="43" fontId="10" fillId="0" borderId="15" xfId="4" applyFont="1" applyFill="1" applyBorder="1" applyAlignment="1">
      <alignment horizontal="left"/>
    </xf>
    <xf numFmtId="0" fontId="0" fillId="0" borderId="7" xfId="0" applyBorder="1"/>
    <xf numFmtId="166" fontId="10" fillId="0" borderId="15" xfId="4" applyNumberFormat="1" applyFont="1" applyFill="1" applyBorder="1" applyAlignment="1">
      <alignment horizontal="left"/>
    </xf>
    <xf numFmtId="171" fontId="10" fillId="0" borderId="2" xfId="0" applyNumberFormat="1" applyFont="1" applyBorder="1"/>
    <xf numFmtId="164" fontId="10" fillId="0" borderId="2" xfId="0" applyNumberFormat="1" applyFont="1" applyBorder="1" applyAlignment="1">
      <alignment horizontal="center"/>
    </xf>
    <xf numFmtId="2" fontId="10" fillId="0" borderId="0" xfId="4" applyNumberFormat="1" applyFont="1" applyFill="1" applyBorder="1"/>
    <xf numFmtId="43" fontId="10" fillId="0" borderId="0" xfId="0" applyNumberFormat="1" applyFont="1"/>
    <xf numFmtId="0" fontId="10" fillId="0" borderId="0" xfId="0" applyFont="1" applyAlignment="1">
      <alignment horizontal="left"/>
    </xf>
    <xf numFmtId="44" fontId="13" fillId="0" borderId="8" xfId="0" applyNumberFormat="1" applyFont="1" applyBorder="1"/>
    <xf numFmtId="0" fontId="13" fillId="4" borderId="2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15" fontId="10" fillId="0" borderId="5" xfId="0" applyNumberFormat="1" applyFont="1" applyBorder="1" applyAlignment="1">
      <alignment horizontal="center"/>
    </xf>
    <xf numFmtId="4" fontId="10" fillId="0" borderId="5" xfId="0" applyNumberFormat="1" applyFont="1" applyBorder="1" applyAlignment="1">
      <alignment horizontal="center"/>
    </xf>
    <xf numFmtId="10" fontId="10" fillId="0" borderId="5" xfId="0" applyNumberFormat="1" applyFont="1" applyBorder="1" applyAlignment="1">
      <alignment horizontal="center"/>
    </xf>
    <xf numFmtId="9" fontId="10" fillId="0" borderId="5" xfId="0" applyNumberFormat="1" applyFont="1" applyBorder="1" applyAlignment="1">
      <alignment horizontal="center"/>
    </xf>
    <xf numFmtId="174" fontId="10" fillId="0" borderId="5" xfId="0" applyNumberFormat="1" applyFont="1" applyBorder="1" applyAlignment="1">
      <alignment horizontal="center"/>
    </xf>
    <xf numFmtId="3" fontId="10" fillId="0" borderId="5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5" fontId="10" fillId="0" borderId="3" xfId="0" applyNumberFormat="1" applyFont="1" applyBorder="1" applyAlignment="1">
      <alignment horizontal="center"/>
    </xf>
    <xf numFmtId="4" fontId="10" fillId="0" borderId="3" xfId="0" applyNumberFormat="1" applyFont="1" applyBorder="1" applyAlignment="1">
      <alignment horizontal="center"/>
    </xf>
    <xf numFmtId="10" fontId="10" fillId="0" borderId="3" xfId="0" applyNumberFormat="1" applyFont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174" fontId="10" fillId="0" borderId="3" xfId="0" applyNumberFormat="1" applyFont="1" applyBorder="1" applyAlignment="1">
      <alignment horizontal="center"/>
    </xf>
    <xf numFmtId="14" fontId="0" fillId="0" borderId="16" xfId="0" applyNumberFormat="1" applyBorder="1"/>
    <xf numFmtId="0" fontId="0" fillId="0" borderId="16" xfId="0" applyBorder="1"/>
    <xf numFmtId="15" fontId="7" fillId="0" borderId="2" xfId="0" applyNumberFormat="1" applyFont="1" applyBorder="1"/>
    <xf numFmtId="0" fontId="13" fillId="0" borderId="6" xfId="0" applyFont="1" applyBorder="1" applyAlignment="1">
      <alignment horizontal="left"/>
    </xf>
    <xf numFmtId="0" fontId="13" fillId="0" borderId="16" xfId="0" applyFont="1" applyBorder="1"/>
    <xf numFmtId="0" fontId="18" fillId="0" borderId="2" xfId="0" applyFont="1" applyBorder="1" applyAlignment="1">
      <alignment horizontal="left"/>
    </xf>
    <xf numFmtId="4" fontId="19" fillId="0" borderId="0" xfId="0" applyNumberFormat="1" applyFont="1"/>
    <xf numFmtId="0" fontId="17" fillId="0" borderId="0" xfId="0" applyFont="1"/>
    <xf numFmtId="0" fontId="16" fillId="0" borderId="0" xfId="0" applyFont="1"/>
    <xf numFmtId="174" fontId="19" fillId="0" borderId="0" xfId="0" applyNumberFormat="1" applyFont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2" fillId="0" borderId="16" xfId="0" applyFont="1" applyBorder="1"/>
  </cellXfs>
  <cellStyles count="5">
    <cellStyle name="Comma" xfId="1" builtinId="3"/>
    <cellStyle name="Comma 2" xfId="4" xr:uid="{179F6F47-AF02-3D48-A755-C05301045BF7}"/>
    <cellStyle name="Currency 2" xfId="3" xr:uid="{69D5155D-3564-6C46-A046-BA8DCCC784A8}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54F80"/>
      <color rgb="FF0BACC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</a:t>
            </a:r>
            <a:r>
              <a:rPr lang="en-US" baseline="0"/>
              <a:t> Yield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'Market Inputs '!$D$3</c:f>
              <c:strCache>
                <c:ptCount val="1"/>
                <c:pt idx="0">
                  <c:v>Rate (Actual)</c:v>
                </c:pt>
              </c:strCache>
            </c:strRef>
          </c:tx>
          <c:spPr>
            <a:ln w="19050" cap="rnd">
              <a:solidFill>
                <a:srgbClr val="054F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'Market Inputs '!$C$4:$C$18</c:f>
              <c:numCache>
                <c:formatCode>General</c:formatCode>
                <c:ptCount val="15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'Market Inputs '!$D$4:$D$18</c:f>
              <c:numCache>
                <c:formatCode>General</c:formatCode>
                <c:ptCount val="15"/>
                <c:pt idx="0">
                  <c:v>4.3019999999999996</c:v>
                </c:pt>
                <c:pt idx="1">
                  <c:v>4.2495000000000003</c:v>
                </c:pt>
                <c:pt idx="2">
                  <c:v>4.1758699999999997</c:v>
                </c:pt>
                <c:pt idx="3">
                  <c:v>4.0776000000000003</c:v>
                </c:pt>
                <c:pt idx="4">
                  <c:v>4.0545499999999999</c:v>
                </c:pt>
                <c:pt idx="5">
                  <c:v>4.0415000000000001</c:v>
                </c:pt>
                <c:pt idx="6">
                  <c:v>4.0385</c:v>
                </c:pt>
                <c:pt idx="7">
                  <c:v>4.0434999999999999</c:v>
                </c:pt>
                <c:pt idx="8">
                  <c:v>4.0490500000000003</c:v>
                </c:pt>
                <c:pt idx="9">
                  <c:v>4.0553600000000003</c:v>
                </c:pt>
                <c:pt idx="10">
                  <c:v>4.0624000000000002</c:v>
                </c:pt>
                <c:pt idx="11">
                  <c:v>4.0709999999999997</c:v>
                </c:pt>
                <c:pt idx="12">
                  <c:v>4.1188799999999999</c:v>
                </c:pt>
                <c:pt idx="13">
                  <c:v>4.1014999999999997</c:v>
                </c:pt>
                <c:pt idx="14">
                  <c:v>3.9335200000000001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D6-4FAE-9248-3268884B04E7}"/>
            </c:ext>
          </c:extLst>
        </c:ser>
        <c:ser>
          <c:idx val="1"/>
          <c:order val="1"/>
          <c:tx>
            <c:strRef>
              <c:f>'Market Inputs '!$E$3</c:f>
              <c:strCache>
                <c:ptCount val="1"/>
                <c:pt idx="0">
                  <c:v>NSS</c:v>
                </c:pt>
              </c:strCache>
            </c:strRef>
          </c:tx>
          <c:spPr>
            <a:ln w="19050" cap="rnd">
              <a:solidFill>
                <a:srgbClr val="0BACC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BACC8"/>
              </a:solidFill>
              <a:ln w="9525">
                <a:solidFill>
                  <a:srgbClr val="0BACC8"/>
                </a:solidFill>
              </a:ln>
              <a:effectLst/>
            </c:spPr>
          </c:marker>
          <c:xVal>
            <c:numRef>
              <c:f>'Market Inputs '!$C$4:$C$18</c:f>
              <c:numCache>
                <c:formatCode>General</c:formatCode>
                <c:ptCount val="15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'Market Inputs '!$E$4:$E$18</c:f>
              <c:numCache>
                <c:formatCode>General</c:formatCode>
                <c:ptCount val="15"/>
                <c:pt idx="0">
                  <c:v>4.1809202409409378</c:v>
                </c:pt>
                <c:pt idx="1">
                  <c:v>4.1723329232528421</c:v>
                </c:pt>
                <c:pt idx="2">
                  <c:v>4.1565362047545911</c:v>
                </c:pt>
                <c:pt idx="3">
                  <c:v>4.1298237101629889</c:v>
                </c:pt>
                <c:pt idx="4">
                  <c:v>4.1085698230503702</c:v>
                </c:pt>
                <c:pt idx="5">
                  <c:v>4.0917164654588687</c:v>
                </c:pt>
                <c:pt idx="6">
                  <c:v>4.0783986276465161</c:v>
                </c:pt>
                <c:pt idx="7">
                  <c:v>4.0679100819599512</c:v>
                </c:pt>
                <c:pt idx="8">
                  <c:v>4.0596750986642602</c:v>
                </c:pt>
                <c:pt idx="9">
                  <c:v>4.0532251219729707</c:v>
                </c:pt>
                <c:pt idx="10">
                  <c:v>4.0481795443431627</c:v>
                </c:pt>
                <c:pt idx="11">
                  <c:v>4.044229866015395</c:v>
                </c:pt>
                <c:pt idx="12">
                  <c:v>4.0337063096910084</c:v>
                </c:pt>
                <c:pt idx="13">
                  <c:v>4.0283129226633214</c:v>
                </c:pt>
                <c:pt idx="14">
                  <c:v>4.0143735468835464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D6-4FAE-9248-3268884B0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895039"/>
        <c:axId val="1788896479"/>
      </c:scatterChart>
      <c:valAx>
        <c:axId val="178889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W"/>
                  <a:t>Term (Yrs)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896479"/>
        <c:crosses val="autoZero"/>
        <c:crossBetween val="midCat"/>
      </c:valAx>
      <c:valAx>
        <c:axId val="1788896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W"/>
                  <a:t>Interest</a:t>
                </a:r>
                <a:r>
                  <a:rPr lang="en-ZW" baseline="0"/>
                  <a:t> Rate (%)</a:t>
                </a:r>
                <a:endParaRPr lang="en-Z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895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455384</xdr:colOff>
      <xdr:row>1</xdr:row>
      <xdr:rowOff>127279</xdr:rowOff>
    </xdr:from>
    <xdr:to>
      <xdr:col>17</xdr:col>
      <xdr:colOff>455791</xdr:colOff>
      <xdr:row>22</xdr:row>
      <xdr:rowOff>97132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9D685A-0DBA-740F-F66E-713CC99D2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1091528</xdr:colOff>
      <xdr:row>3</xdr:row>
      <xdr:rowOff>11876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DB4483-8250-4E40-8042-57826367F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258" y="0"/>
          <a:ext cx="1750787" cy="525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1050758</xdr:colOff>
      <xdr:row>3</xdr:row>
      <xdr:rowOff>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8C825-1EF0-4AC6-AA6C-945132AA7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842" y="0"/>
          <a:ext cx="1752600" cy="541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899615</xdr:colOff>
      <xdr:row>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276487-43ED-4A62-8C71-0783CDE64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985" y="0"/>
          <a:ext cx="1752600" cy="53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1078042</xdr:colOff>
      <xdr:row>2</xdr:row>
      <xdr:rowOff>168422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B7AB4E-A279-46EF-9E46-F660C7325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557" y="0"/>
          <a:ext cx="1752600" cy="518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1080837</xdr:colOff>
      <xdr:row>3</xdr:row>
      <xdr:rowOff>2137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7982B3-D15B-4CBA-A76B-AF269A7DE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763" y="0"/>
          <a:ext cx="1752600" cy="513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1082322</xdr:colOff>
      <xdr:row>3</xdr:row>
      <xdr:rowOff>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768C46-6522-4F0F-AC1E-92845C964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33" y="0"/>
          <a:ext cx="1759656" cy="509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1082193</xdr:colOff>
      <xdr:row>3</xdr:row>
      <xdr:rowOff>2919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F37DFF-8883-4D97-B82F-E3106AD83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055" y="0"/>
          <a:ext cx="1750248" cy="53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1083694</xdr:colOff>
      <xdr:row>3</xdr:row>
      <xdr:rowOff>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097051-6696-431A-BE00-24B8DEADC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867" y="0"/>
          <a:ext cx="1752560" cy="534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1083498</xdr:colOff>
      <xdr:row>2</xdr:row>
      <xdr:rowOff>163476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1F386D-0810-4039-9BD5-9C72C1C0D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0"/>
          <a:ext cx="1750248" cy="523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1092484</xdr:colOff>
      <xdr:row>2</xdr:row>
      <xdr:rowOff>162884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A02A80-9B36-4D07-B112-EE71E5BCB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759234" cy="520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qochi\AppData\Local\Microsoft\Olk\Attachments\ooa-69a82b6e-e945-499d-b10f-d44bce62d22b\62e5969eecee5c8aa7bcf0e0b241cd75bcb9fc48bf5f177640d2c1e614fcbf74\Corporate%20Bonds%20Investments%20December%202024%20Valuation%20v5.xlsx" TargetMode="External"/><Relationship Id="rId2" Type="http://schemas.microsoft.com/office/2019/04/relationships/externalLinkLongPath" Target="file:///C:\Users\qochi\AppData\Local\Microsoft\Olk\Attachments\ooa-69a82b6e-e945-499d-b10f-d44bce62d22b\62e5969eecee5c8aa7bcf0e0b241cd75bcb9fc48bf5f177640d2c1e614fcbf74\Corporate%20Bonds%20Investments%20December%202024%20Valuation%20v5.xlsx?8359211F" TargetMode="External"/><Relationship Id="rId1" Type="http://schemas.openxmlformats.org/officeDocument/2006/relationships/externalLinkPath" Target="file:///\\8359211F\Corporate%20Bonds%20Investments%20December%202024%20Valuation%20v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74160a06a50e212/Documents/DURA%20CAPITAL/DELOITTE%20TBs/JAN%202025%20PROJECT/Corporate%20Bonds%20Investments%20December%202024%20Valuation%20v5.xlsx" TargetMode="External"/><Relationship Id="rId1" Type="http://schemas.openxmlformats.org/officeDocument/2006/relationships/externalLinkPath" Target="https://duracapital123-my.sharepoint.com/personal/millicent_duracapital_com/Documents/Microsoft%20Teams%20Chat%20Files/Corporate%20Bonds%20Investments%20December%202024%20Valuation%20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fs"/>
      <sheetName val="Richaw $5m"/>
      <sheetName val="Richaw $205k"/>
      <sheetName val="Centragrid"/>
      <sheetName val="GZH"/>
      <sheetName val="Nhimbe"/>
      <sheetName val="Solgas $5m"/>
      <sheetName val="Solgas $518k"/>
      <sheetName val="Glytime "/>
      <sheetName val="Zimcampus"/>
      <sheetName val="Richaw $5m DD "/>
      <sheetName val="Richaw $205k DD"/>
      <sheetName val="Centragrid Drawdowns"/>
      <sheetName val="GZH Drawdowns"/>
      <sheetName val="Solgas $5m DD "/>
      <sheetName val="Solgas $218k DD"/>
      <sheetName val="Solgas $300k DD"/>
      <sheetName val="Glytime DD"/>
      <sheetName val="Zimcampus US$200k DD"/>
      <sheetName val="2024 Deployments"/>
    </sheetNames>
    <sheetDataSet>
      <sheetData sheetId="0"/>
      <sheetData sheetId="1">
        <row r="12">
          <cell r="A12" t="str">
            <v>Interest Accrued to 31 December 2024</v>
          </cell>
        </row>
      </sheetData>
      <sheetData sheetId="2">
        <row r="12">
          <cell r="A12" t="str">
            <v>Interest Accrued to 31 December 2024</v>
          </cell>
        </row>
      </sheetData>
      <sheetData sheetId="3">
        <row r="46">
          <cell r="C46" t="str">
            <v>Exch rate</v>
          </cell>
        </row>
      </sheetData>
      <sheetData sheetId="4">
        <row r="13">
          <cell r="A13" t="str">
            <v>Interest Accrued to 31 December 2024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s"/>
      <sheetName val="Richaw $5m"/>
      <sheetName val="Richaw $205k"/>
      <sheetName val="Centragrid"/>
      <sheetName val="GZH"/>
      <sheetName val="Nhimbe"/>
      <sheetName val="Solgas $5m"/>
      <sheetName val="Solgas $518k"/>
      <sheetName val="Glytime "/>
      <sheetName val="Zimcampus"/>
      <sheetName val="Richaw $5m DD "/>
      <sheetName val="Richaw $205k DD"/>
      <sheetName val="Centragrid Drawdowns"/>
      <sheetName val="GZH Drawdowns"/>
      <sheetName val="Solgas $5m DD "/>
      <sheetName val="Solgas $218k DD"/>
      <sheetName val="Solgas $300k DD"/>
      <sheetName val="Glytime DD"/>
      <sheetName val="Zimcampus US$200k DD"/>
      <sheetName val="2024 Deployments"/>
    </sheetNames>
    <sheetDataSet>
      <sheetData sheetId="0"/>
      <sheetData sheetId="1"/>
      <sheetData sheetId="2"/>
      <sheetData sheetId="3"/>
      <sheetData sheetId="4"/>
      <sheetData sheetId="5"/>
      <sheetData sheetId="6">
        <row r="12">
          <cell r="A12" t="str">
            <v>Unpaid Interest Accrued to 31 December 2024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30B824-2828-4DE3-9A11-47CDFBE16F63}">
  <we:reference id="wa104100404" version="3.0.0.1" store="en-US" storeType="OMEX"/>
  <we:alternateReferences>
    <we:reference id="wa104100404" version="3.0.0.1" store="wa104100404" storeType="OMEX"/>
  </we:alternateReferences>
  <we:properties>
    <we:property name="IwAp" value="&quot;&quot;"/>
    <we:property name="UniqueID" value="&quot;2025151738750258974&quot;"/>
    <we:property name="IQMxXwgXFCcGQ0IWFHpiIwAp" value="&quot;&quot;"/>
    <we:property name="IQMxXwgXFCcGQ0IWFHpiHw0vQggRawsGVA==" value="&quot;KzAE&quot;"/>
    <we:property name="IQMxXwgXFCcGQ0IWFHpiIQM7eQQN" value="&quot;XQ==&quot;"/>
    <we:property name="IQMxXwgXFCcGQ0IWFHpiHw0vQggRawANVA==" value="&quot;XQ==&quot;"/>
    <we:property name="IQMxXwgXFCcGQ0IWFHpiHw0vQggRax4aVg==" value="&quot;XExzBF1TBF8=&quot;"/>
    <we:property name="IQMxXwgXFCcGQ0IWFHpiHw0vQggRax0LXw==" value="&quot;XQ==&quot;"/>
    <we:property name="IQMxXwgXFCcGQ0IWFHpiHw0vQggRaxwESw==" value="&quot;XA==&quot;"/>
    <we:property name="IQMxXwgXFCcGQ0IWFHpiHw0vQggRaxoHXw==" value="&quot;XExzBQ==&quot;"/>
    <we:property name="IQMxXwgXFCcGQ0IWFHpiHw0vQggRaw0eVA==" value="&quot;XExzBF1S&quot;"/>
    <we:property name="IQMxXwgXFCcGQ0IWFHpiHw0vQggRawMbXw==" value="&quot;XA==&quot;"/>
    <we:property name="IQMxXwgXFCcGQ0IWFHpiHw0vQggRax0bSQ==" value="&quot;XVJz&quot;"/>
    <we:property name="IQMxXwgXFCcGQ0IWFHpiHw0vQggRaxwbVw==" value="&quot;XA==&quot;"/>
    <we:property name="IQMxXwgXFCcGQ0IWFHpiHw0vQggRawMaRw==" value="&quot;XExzA1g=&quot;"/>
    <we:property name="IQMxXwgXFCcGQ0IWFHpiHw0vQggRawMGWg==" value="&quot;X1I=&quot;"/>
    <we:property name="IQMxXwgXFCcGQ0IWFHpiHw0vQggRaxwKRQ==" value="&quot;XQ==&quot;"/>
    <we:property name="IQMxXwgXFCcGQ0IWFHpiHw0vQggRawAcQQ==" value="&quot;Xg==&quot;"/>
    <we:property name="IQMxXwgXFCcGQ0IWFHpiHw0vQggRaw8LUA==" value="&quot;XExzBFw=&quot;"/>
    <we:property name="IQMxXwgXFCcGQ0IWFHpiHw0vQggRaxwNQA==" value="&quot;WQ==&quot;"/>
    <we:property name="IQMxXwgXFCcGQ0IWFHpiHw0vQggRaw8aQA==" value="&quot;XQ==&quot;"/>
    <we:property name="IQMxXwgXFCcGQ0IWFHpiHw0vQggRax0cUg==" value="&quot;XA==&quot;"/>
    <we:property name="IQMxXwgXFCcGQ0IWFHpiHw0vQggRawMNRw==" value="&quot;Xg==&quot;"/>
    <we:property name="IQMxXwgXFCcGQ0IWFHpiHw0vQggRax0HUA==" value="&quot;XA==&quot;"/>
    <we:property name="IQMxXwgXFCcGQ0IWFHpiHw0vQggRawIYRw==" value="&quot;XA==&quot;"/>
    <we:property name="IQMxXwgXFCcGQ0IWFHpiHw0vQggRawIYQw==" value="&quot;XA==&quot;"/>
    <we:property name="IQMxXwgXFCcGQ0IWFHpiHw0vQggRawkJQw==" value="&quot;XExzBF1TBF8=&quot;"/>
    <we:property name="IQMxXwgXFCcGQ0IWFHpiHw0vQggRawcYQA==" value="&quot;XEx6DQ==&quot;"/>
    <we:property name="IQMxXwgXFCcGQ0IWFHpiHw0vQggRawgNUg==" value="&quot;XExzBF1TBF8=&quot;"/>
    <we:property name="IQMxXwgXFCcGQ0IWFHpiHw0vQggRawcYWg==" value="&quot;XQ==&quot;"/>
    <we:property name="IQMxXwgXFCcGQ0IWFHpiHw0vQggRawcYVw==" value="&quot;Xw==&quot;"/>
  </we:properties>
  <we:bindings>
    <we:binding id="refEdit" type="matrix" appref="{6C602BB5-C61A-420E-AFFF-95F70B1AF52A}"/>
    <we:binding id="Worker" type="matrix" appref="{F35F1AE7-9D38-44A6-814B-1C978CAC97C4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AF68-44EC-974E-BCF3-51E135A0894E}">
  <sheetPr codeName="Sheet1"/>
  <dimension ref="B2:XFD1048575"/>
  <sheetViews>
    <sheetView showGridLines="0" zoomScale="115" zoomScaleNormal="108" workbookViewId="0">
      <selection activeCell="L35" sqref="L35"/>
    </sheetView>
  </sheetViews>
  <sheetFormatPr defaultColWidth="11.25" defaultRowHeight="15.6"/>
  <cols>
    <col min="2" max="2" width="16.125" bestFit="1" customWidth="1"/>
    <col min="3" max="3" width="29.75" bestFit="1" customWidth="1"/>
    <col min="4" max="4" width="12.125" bestFit="1" customWidth="1"/>
    <col min="5" max="5" width="11.25" bestFit="1" customWidth="1"/>
    <col min="6" max="6" width="11.875" bestFit="1" customWidth="1"/>
    <col min="7" max="7" width="29" bestFit="1" customWidth="1"/>
    <col min="8" max="8" width="11.25" bestFit="1" customWidth="1"/>
  </cols>
  <sheetData>
    <row r="2" spans="2:8">
      <c r="B2" s="156" t="s">
        <v>0</v>
      </c>
      <c r="C2" s="157"/>
      <c r="D2" s="157"/>
      <c r="G2" s="156" t="s">
        <v>1</v>
      </c>
      <c r="H2" s="156"/>
    </row>
    <row r="3" spans="2:8">
      <c r="B3" s="1" t="s">
        <v>2</v>
      </c>
      <c r="C3" s="1" t="s">
        <v>3</v>
      </c>
      <c r="D3" s="1" t="s">
        <v>4</v>
      </c>
      <c r="E3" s="1" t="s">
        <v>5</v>
      </c>
      <c r="G3" s="1" t="s">
        <v>6</v>
      </c>
      <c r="H3" s="3">
        <v>4.0599999999999997E-2</v>
      </c>
    </row>
    <row r="4" spans="2:8">
      <c r="B4" s="1" t="s">
        <v>7</v>
      </c>
      <c r="C4" s="2">
        <v>0.25</v>
      </c>
      <c r="D4" s="2">
        <v>4.3019999999999996</v>
      </c>
      <c r="E4" s="2">
        <v>4.1809202409409378</v>
      </c>
      <c r="G4" s="1" t="s">
        <v>8</v>
      </c>
      <c r="H4" s="4">
        <v>0.02</v>
      </c>
    </row>
    <row r="5" spans="2:8">
      <c r="B5" s="1" t="s">
        <v>9</v>
      </c>
      <c r="C5" s="2">
        <v>0.5</v>
      </c>
      <c r="D5" s="2">
        <v>4.2495000000000003</v>
      </c>
      <c r="E5" s="2">
        <v>4.1723329232528421</v>
      </c>
      <c r="G5" s="1" t="s">
        <v>10</v>
      </c>
      <c r="H5" s="3">
        <v>2.9600000000000001E-2</v>
      </c>
    </row>
    <row r="6" spans="2:8">
      <c r="B6" s="1" t="s">
        <v>11</v>
      </c>
      <c r="C6" s="2">
        <v>1</v>
      </c>
      <c r="D6" s="2">
        <v>4.1758699999999997</v>
      </c>
      <c r="E6" s="2">
        <v>4.1565362047545911</v>
      </c>
    </row>
    <row r="7" spans="2:8">
      <c r="B7" s="1" t="s">
        <v>12</v>
      </c>
      <c r="C7" s="2">
        <v>2</v>
      </c>
      <c r="D7" s="2">
        <v>4.0776000000000003</v>
      </c>
      <c r="E7" s="2">
        <v>4.1298237101629889</v>
      </c>
      <c r="G7" s="156" t="s">
        <v>13</v>
      </c>
      <c r="H7" s="156"/>
    </row>
    <row r="8" spans="2:8">
      <c r="B8" s="1" t="s">
        <v>14</v>
      </c>
      <c r="C8" s="2">
        <v>3</v>
      </c>
      <c r="D8" s="2">
        <v>4.0545499999999999</v>
      </c>
      <c r="E8" s="2">
        <v>4.1085698230503702</v>
      </c>
      <c r="G8" s="1" t="s">
        <v>15</v>
      </c>
      <c r="H8" s="8">
        <v>25.798500000000001</v>
      </c>
    </row>
    <row r="9" spans="2:8">
      <c r="B9" s="1" t="s">
        <v>16</v>
      </c>
      <c r="C9" s="2">
        <v>4</v>
      </c>
      <c r="D9" s="2">
        <v>4.0415000000000001</v>
      </c>
      <c r="E9" s="2">
        <v>4.0917164654588687</v>
      </c>
      <c r="G9" s="1" t="s">
        <v>17</v>
      </c>
      <c r="H9" s="7">
        <v>0.1202</v>
      </c>
    </row>
    <row r="10" spans="2:8">
      <c r="B10" s="1" t="s">
        <v>18</v>
      </c>
      <c r="C10" s="2">
        <v>5</v>
      </c>
      <c r="D10" s="2">
        <v>4.0385</v>
      </c>
      <c r="E10" s="2">
        <v>4.0783986276465161</v>
      </c>
    </row>
    <row r="11" spans="2:8">
      <c r="B11" s="1" t="s">
        <v>19</v>
      </c>
      <c r="C11" s="2">
        <v>6</v>
      </c>
      <c r="D11" s="2">
        <v>4.0434999999999999</v>
      </c>
      <c r="E11" s="2">
        <v>4.0679100819599512</v>
      </c>
    </row>
    <row r="12" spans="2:8">
      <c r="B12" s="1" t="s">
        <v>20</v>
      </c>
      <c r="C12" s="2">
        <v>7</v>
      </c>
      <c r="D12" s="2">
        <v>4.0490500000000003</v>
      </c>
      <c r="E12" s="2">
        <v>4.0596750986642602</v>
      </c>
      <c r="G12" s="13" t="s">
        <v>21</v>
      </c>
      <c r="H12" s="5" t="s">
        <v>22</v>
      </c>
    </row>
    <row r="13" spans="2:8">
      <c r="B13" s="1" t="s">
        <v>23</v>
      </c>
      <c r="C13" s="2">
        <v>8</v>
      </c>
      <c r="D13" s="2">
        <v>4.0553600000000003</v>
      </c>
      <c r="E13" s="2">
        <v>4.0532251219729707</v>
      </c>
      <c r="G13" s="9" t="s">
        <v>24</v>
      </c>
      <c r="H13" s="10">
        <v>10.45</v>
      </c>
    </row>
    <row r="14" spans="2:8">
      <c r="B14" s="1" t="s">
        <v>25</v>
      </c>
      <c r="C14" s="2">
        <v>9</v>
      </c>
      <c r="D14" s="2">
        <v>4.0624000000000002</v>
      </c>
      <c r="E14" s="2">
        <v>4.0481795443431627</v>
      </c>
      <c r="G14" s="9" t="s">
        <v>26</v>
      </c>
      <c r="H14" s="10">
        <v>-6.26</v>
      </c>
    </row>
    <row r="15" spans="2:8">
      <c r="B15" s="1" t="s">
        <v>27</v>
      </c>
      <c r="C15" s="2">
        <v>10</v>
      </c>
      <c r="D15" s="2">
        <v>4.0709999999999997</v>
      </c>
      <c r="E15" s="2">
        <v>4.044229866015395</v>
      </c>
      <c r="G15" s="9" t="s">
        <v>28</v>
      </c>
      <c r="H15" s="10">
        <v>-13.14</v>
      </c>
    </row>
    <row r="16" spans="2:8">
      <c r="B16" s="1" t="s">
        <v>29</v>
      </c>
      <c r="C16" s="2">
        <v>15</v>
      </c>
      <c r="D16" s="2">
        <v>4.1188799999999999</v>
      </c>
      <c r="E16" s="2">
        <v>4.0337063096910084</v>
      </c>
      <c r="G16" s="9" t="s">
        <v>30</v>
      </c>
      <c r="H16" s="10">
        <v>-0.36</v>
      </c>
    </row>
    <row r="17" spans="2:8">
      <c r="B17" s="1" t="s">
        <v>31</v>
      </c>
      <c r="C17" s="2">
        <v>20</v>
      </c>
      <c r="D17" s="2">
        <v>4.1014999999999997</v>
      </c>
      <c r="E17" s="2">
        <v>4.0283129226633214</v>
      </c>
      <c r="G17" s="9" t="s">
        <v>32</v>
      </c>
      <c r="H17" s="10">
        <v>886.26</v>
      </c>
    </row>
    <row r="18" spans="2:8">
      <c r="B18" s="1" t="s">
        <v>33</v>
      </c>
      <c r="C18" s="2">
        <v>30</v>
      </c>
      <c r="D18" s="2">
        <v>3.9335200000000001</v>
      </c>
      <c r="E18" s="2">
        <v>4.0143735468835464</v>
      </c>
      <c r="G18" s="11" t="s">
        <v>34</v>
      </c>
      <c r="H18" s="12">
        <v>5.38</v>
      </c>
    </row>
    <row r="22" spans="2:8">
      <c r="B22" s="160" t="s">
        <v>35</v>
      </c>
      <c r="C22" s="160" t="s">
        <v>36</v>
      </c>
    </row>
    <row r="23" spans="2:8">
      <c r="B23" s="146">
        <v>45292</v>
      </c>
      <c r="C23" s="147" t="s">
        <v>37</v>
      </c>
    </row>
    <row r="24" spans="2:8">
      <c r="B24" s="146">
        <v>45343</v>
      </c>
      <c r="C24" s="147" t="s">
        <v>38</v>
      </c>
    </row>
    <row r="25" spans="2:8">
      <c r="B25" s="146">
        <v>45380</v>
      </c>
      <c r="C25" s="147" t="s">
        <v>39</v>
      </c>
    </row>
    <row r="26" spans="2:8">
      <c r="B26" s="146">
        <v>45381</v>
      </c>
      <c r="C26" s="147" t="s">
        <v>40</v>
      </c>
    </row>
    <row r="27" spans="2:8">
      <c r="B27" s="146">
        <v>45382</v>
      </c>
      <c r="C27" s="147" t="s">
        <v>41</v>
      </c>
    </row>
    <row r="28" spans="2:8">
      <c r="B28" s="146">
        <v>45383</v>
      </c>
      <c r="C28" s="147" t="s">
        <v>42</v>
      </c>
    </row>
    <row r="29" spans="2:8">
      <c r="B29" s="146">
        <v>45400</v>
      </c>
      <c r="C29" s="147" t="s">
        <v>43</v>
      </c>
    </row>
    <row r="30" spans="2:8">
      <c r="B30" s="146">
        <v>45413</v>
      </c>
      <c r="C30" s="147" t="s">
        <v>44</v>
      </c>
    </row>
    <row r="31" spans="2:8">
      <c r="B31" s="146">
        <v>45437</v>
      </c>
      <c r="C31" s="147" t="s">
        <v>45</v>
      </c>
    </row>
    <row r="32" spans="2:8">
      <c r="B32" s="146">
        <v>45516</v>
      </c>
      <c r="C32" s="147" t="s">
        <v>46</v>
      </c>
    </row>
    <row r="33" spans="2:3">
      <c r="B33" s="146">
        <v>45517</v>
      </c>
      <c r="C33" s="147" t="s">
        <v>47</v>
      </c>
    </row>
    <row r="34" spans="2:3">
      <c r="B34" s="146">
        <v>45648</v>
      </c>
      <c r="C34" s="147" t="s">
        <v>48</v>
      </c>
    </row>
    <row r="35" spans="2:3">
      <c r="B35" s="146">
        <v>45651</v>
      </c>
      <c r="C35" s="147" t="s">
        <v>49</v>
      </c>
    </row>
    <row r="36" spans="2:3">
      <c r="B36" s="146">
        <v>45652</v>
      </c>
      <c r="C36" s="147" t="s">
        <v>50</v>
      </c>
    </row>
    <row r="1048550" spans="16384:16384">
      <c r="XFD1048550" cm="1">
        <f t="array" ref="XFD1048550">solver_pre</f>
        <v>9.9999999999999995E-7</v>
      </c>
    </row>
    <row r="1048551" spans="16384:16384">
      <c r="XFD1048551" cm="1">
        <f t="array" ref="XFD1048551">solver_scl</f>
        <v>1</v>
      </c>
    </row>
    <row r="1048552" spans="16384:16384">
      <c r="XFD1048552" cm="1">
        <f t="array" ref="XFD1048552">solver_rlx</f>
        <v>2</v>
      </c>
    </row>
    <row r="1048553" spans="16384:16384">
      <c r="XFD1048553" cm="1">
        <f t="array" ref="XFD1048553">solver_tol</f>
        <v>0.01</v>
      </c>
    </row>
    <row r="1048554" spans="16384:16384">
      <c r="XFD1048554" cm="1">
        <f t="array" ref="XFD1048554">solver_cvg</f>
        <v>1E-4</v>
      </c>
    </row>
    <row r="1048555" spans="16384:16384">
      <c r="XFD1048555" cm="1">
        <f t="array" ref="XFD1048555">solver_msl</f>
        <v>2</v>
      </c>
    </row>
    <row r="1048556" spans="16384:16384">
      <c r="XFD1048556" cm="1">
        <f t="array" ref="XFD1048556">solver_ssz</f>
        <v>100</v>
      </c>
    </row>
    <row r="1048557" spans="16384:16384">
      <c r="XFD1048557" cm="1">
        <f t="array" ref="XFD1048557">solver_rsd</f>
        <v>0</v>
      </c>
    </row>
    <row r="1048558" spans="16384:16384">
      <c r="XFD1048558" cm="1">
        <f t="array" ref="XFD1048558">solver_mrt</f>
        <v>7.4999999999999997E-2</v>
      </c>
    </row>
    <row r="1048559" spans="16384:16384">
      <c r="XFD1048559" cm="1">
        <f t="array" ref="XFD1048559">solver_mni</f>
        <v>30</v>
      </c>
    </row>
    <row r="1048560" spans="16384:16384">
      <c r="XFD1048560" cm="1">
        <f t="array" ref="XFD1048560">solver_rbv</f>
        <v>1</v>
      </c>
    </row>
    <row r="1048561" spans="16384:16384">
      <c r="XFD1048561" cm="1">
        <f t="array" ref="XFD1048561">solver_neg</f>
        <v>1</v>
      </c>
    </row>
    <row r="1048562" spans="16384:16384">
      <c r="XFD1048562" t="e" cm="1">
        <f t="array" ref="XFD1048562">solver_ntr</f>
        <v>#NAME?</v>
      </c>
    </row>
    <row r="1048563" spans="16384:16384">
      <c r="XFD1048563" t="e" cm="1">
        <f t="array" ref="XFD1048563">solver_acc</f>
        <v>#NAME?</v>
      </c>
    </row>
    <row r="1048564" spans="16384:16384">
      <c r="XFD1048564" t="e" cm="1">
        <f t="array" ref="XFD1048564">solver_res</f>
        <v>#NAME?</v>
      </c>
    </row>
    <row r="1048565" spans="16384:16384">
      <c r="XFD1048565" t="e" cm="1">
        <f t="array" ref="XFD1048565">solver_ars</f>
        <v>#NAME?</v>
      </c>
    </row>
    <row r="1048566" spans="16384:16384">
      <c r="XFD1048566" t="e" cm="1">
        <f t="array" ref="XFD1048566">solver_sta</f>
        <v>#NAME?</v>
      </c>
    </row>
    <row r="1048567" spans="16384:16384">
      <c r="XFD1048567" t="e" cm="1">
        <f t="array" ref="XFD1048567">solver_met</f>
        <v>#NAME?</v>
      </c>
    </row>
    <row r="1048568" spans="16384:16384">
      <c r="XFD1048568" t="e" cm="1">
        <f t="array" ref="XFD1048568">solver_soc</f>
        <v>#NAME?</v>
      </c>
    </row>
    <row r="1048569" spans="16384:16384">
      <c r="XFD1048569" t="e" cm="1">
        <f t="array" ref="XFD1048569">solver_lpt</f>
        <v>#NAME?</v>
      </c>
    </row>
    <row r="1048570" spans="16384:16384">
      <c r="XFD1048570" t="e" cm="1">
        <f t="array" ref="XFD1048570">solver_lpp</f>
        <v>#NAME?</v>
      </c>
    </row>
    <row r="1048571" spans="16384:16384">
      <c r="XFD1048571" t="e" cm="1">
        <f t="array" ref="XFD1048571">solver_gap</f>
        <v>#NAME?</v>
      </c>
    </row>
    <row r="1048572" spans="16384:16384">
      <c r="XFD1048572" t="e" cm="1">
        <f t="array" ref="XFD1048572">solver_ips</f>
        <v>#NAME?</v>
      </c>
    </row>
    <row r="1048573" spans="16384:16384">
      <c r="XFD1048573" t="e" cm="1">
        <f t="array" ref="XFD1048573">solver_fea</f>
        <v>#NAME?</v>
      </c>
    </row>
    <row r="1048574" spans="16384:16384">
      <c r="XFD1048574" t="e" cm="1">
        <f t="array" ref="XFD1048574">solver_ipi</f>
        <v>#NAME?</v>
      </c>
    </row>
    <row r="1048575" spans="16384:16384">
      <c r="XFD1048575" t="e" cm="1">
        <f t="array" ref="XFD1048575">solver_ipd</f>
        <v>#NAME?</v>
      </c>
    </row>
  </sheetData>
  <mergeCells count="3">
    <mergeCell ref="B2:D2"/>
    <mergeCell ref="G2:H2"/>
    <mergeCell ref="G7:H7"/>
  </mergeCells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6C602BB5-C61A-420E-AFFF-95F70B1AF52A}">
          <xm:f>'Market Inputs '!1:1048576</xm:f>
        </x15:webExtension>
        <x15:webExtension appRef="{F35F1AE7-9D38-44A6-814B-1C978CAC97C4}">
          <xm:f>'Market Inputs '!XFD1048550:XFD1048575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AE66-F21A-42F4-AD35-08355DE9E44A}">
  <sheetPr codeName="Sheet2"/>
  <dimension ref="B4:Q32"/>
  <sheetViews>
    <sheetView showGridLines="0" topLeftCell="F7" zoomScale="114" zoomScaleNormal="74" workbookViewId="0">
      <selection activeCell="L21" sqref="L21"/>
    </sheetView>
  </sheetViews>
  <sheetFormatPr defaultColWidth="8.75" defaultRowHeight="13.9"/>
  <cols>
    <col min="1" max="2" width="8.75" style="38"/>
    <col min="3" max="9" width="15.75" style="38" customWidth="1"/>
    <col min="10" max="10" width="20.75" style="38" bestFit="1" customWidth="1"/>
    <col min="11" max="15" width="15.75" style="38" customWidth="1"/>
    <col min="16" max="16384" width="8.75" style="38"/>
  </cols>
  <sheetData>
    <row r="4" spans="2:17" ht="14.45" thickBot="1"/>
    <row r="5" spans="2:17" ht="14.65" customHeight="1" thickTop="1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81"/>
    </row>
    <row r="6" spans="2:17">
      <c r="B6" s="62"/>
      <c r="C6" s="159" t="s">
        <v>51</v>
      </c>
      <c r="D6" s="159"/>
      <c r="Q6" s="82"/>
    </row>
    <row r="7" spans="2:17">
      <c r="B7" s="62"/>
      <c r="C7" s="111"/>
      <c r="D7" s="111"/>
      <c r="Q7" s="82"/>
    </row>
    <row r="8" spans="2:17">
      <c r="B8" s="62"/>
      <c r="C8" s="153" t="s">
        <v>52</v>
      </c>
      <c r="Q8" s="82"/>
    </row>
    <row r="9" spans="2:17">
      <c r="B9" s="62"/>
      <c r="C9" s="154"/>
      <c r="Q9" s="82"/>
    </row>
    <row r="10" spans="2:17">
      <c r="B10" s="62"/>
      <c r="L10" s="158" t="s">
        <v>53</v>
      </c>
      <c r="M10" s="158"/>
      <c r="N10" s="158" t="s">
        <v>54</v>
      </c>
      <c r="O10" s="158"/>
      <c r="Q10" s="82"/>
    </row>
    <row r="11" spans="2:17">
      <c r="B11" s="62"/>
      <c r="C11" s="132" t="s">
        <v>55</v>
      </c>
      <c r="D11" s="132" t="s">
        <v>56</v>
      </c>
      <c r="E11" s="132" t="s">
        <v>57</v>
      </c>
      <c r="F11" s="132" t="s">
        <v>58</v>
      </c>
      <c r="G11" s="132" t="s">
        <v>59</v>
      </c>
      <c r="H11" s="132" t="s">
        <v>60</v>
      </c>
      <c r="I11" s="132" t="s">
        <v>61</v>
      </c>
      <c r="J11" s="132" t="s">
        <v>62</v>
      </c>
      <c r="K11" s="132" t="s">
        <v>63</v>
      </c>
      <c r="L11" s="132" t="s">
        <v>64</v>
      </c>
      <c r="M11" s="132" t="s">
        <v>65</v>
      </c>
      <c r="N11" s="132" t="s">
        <v>64</v>
      </c>
      <c r="O11" s="132" t="s">
        <v>65</v>
      </c>
      <c r="Q11" s="82"/>
    </row>
    <row r="12" spans="2:17">
      <c r="B12" s="62"/>
      <c r="C12" s="133" t="str">
        <f>'Richaw $5m'!D6</f>
        <v>Richaw</v>
      </c>
      <c r="D12" s="133" t="s">
        <v>54</v>
      </c>
      <c r="E12" s="133" t="s">
        <v>66</v>
      </c>
      <c r="F12" s="134">
        <f>'Richaw $5m'!D14</f>
        <v>43564</v>
      </c>
      <c r="G12" s="134">
        <f>'Richaw $5m'!D13</f>
        <v>46119</v>
      </c>
      <c r="H12" s="135">
        <f>'Richaw $5m'!D8</f>
        <v>5000000</v>
      </c>
      <c r="I12" s="133" t="s">
        <v>67</v>
      </c>
      <c r="J12" s="136">
        <f>'Richaw $5m'!D10</f>
        <v>7.4999999999999997E-2</v>
      </c>
      <c r="K12" s="137" t="str">
        <f>'Richaw $5m'!D11</f>
        <v>Semi-annually</v>
      </c>
      <c r="L12" s="135">
        <f>'Richaw $5m'!D29</f>
        <v>6910767.8501972426</v>
      </c>
      <c r="M12" s="138">
        <f>'Richaw $5m'!D31</f>
        <v>-538675.52265183721</v>
      </c>
      <c r="N12" s="135">
        <v>7023683.5</v>
      </c>
      <c r="O12" s="138">
        <v>-425759.87</v>
      </c>
      <c r="Q12" s="82"/>
    </row>
    <row r="13" spans="2:17">
      <c r="B13" s="62"/>
      <c r="C13" s="133" t="str">
        <f>'Richaw $205k'!D6</f>
        <v>Richaw</v>
      </c>
      <c r="D13" s="133" t="s">
        <v>54</v>
      </c>
      <c r="E13" s="133" t="s">
        <v>66</v>
      </c>
      <c r="F13" s="134">
        <f>'Richaw $205k'!D14</f>
        <v>45054</v>
      </c>
      <c r="G13" s="134">
        <f>'Richaw $205k'!D13</f>
        <v>46879</v>
      </c>
      <c r="H13" s="135">
        <f>'Richaw $205k'!D8</f>
        <v>200059.91</v>
      </c>
      <c r="I13" s="133" t="s">
        <v>67</v>
      </c>
      <c r="J13" s="136">
        <f>'Richaw $205k'!D10</f>
        <v>0.12</v>
      </c>
      <c r="K13" s="137" t="str">
        <f>'Richaw $205k'!D11</f>
        <v>Semi-annually</v>
      </c>
      <c r="L13" s="135">
        <f>'Richaw $205k'!D32</f>
        <v>216188.45739316515</v>
      </c>
      <c r="M13" s="138">
        <f>'Richaw $205k'!D34</f>
        <v>-21497.45260683485</v>
      </c>
      <c r="N13" s="135">
        <v>185353.62</v>
      </c>
      <c r="O13" s="138">
        <v>-52332.04</v>
      </c>
      <c r="Q13" s="82"/>
    </row>
    <row r="14" spans="2:17">
      <c r="B14" s="62"/>
      <c r="C14" s="133" t="str">
        <f>Centragrid!D6</f>
        <v>Centragrid</v>
      </c>
      <c r="D14" s="133" t="s">
        <v>54</v>
      </c>
      <c r="E14" s="133" t="s">
        <v>66</v>
      </c>
      <c r="F14" s="134">
        <f>Centragrid!D15</f>
        <v>44833</v>
      </c>
      <c r="G14" s="134">
        <f>Centragrid!D14</f>
        <v>48483</v>
      </c>
      <c r="H14" s="135">
        <f>Centragrid!D9</f>
        <v>18515000</v>
      </c>
      <c r="I14" s="133" t="s">
        <v>67</v>
      </c>
      <c r="J14" s="136">
        <f>Centragrid!D11</f>
        <v>0.1</v>
      </c>
      <c r="K14" s="137" t="str">
        <f>Centragrid!D12</f>
        <v>Semi-annually</v>
      </c>
      <c r="L14" s="135">
        <f>Centragrid!D43</f>
        <v>16807946.815075539</v>
      </c>
      <c r="M14" s="138">
        <f>Centragrid!D45</f>
        <v>-4403458.1849244609</v>
      </c>
      <c r="N14" s="135">
        <v>16354103.34</v>
      </c>
      <c r="O14" s="138">
        <v>-4857302.1399999997</v>
      </c>
      <c r="Q14" s="82"/>
    </row>
    <row r="15" spans="2:17">
      <c r="B15" s="62"/>
      <c r="C15" s="133" t="str">
        <f>GZH!D6</f>
        <v>GZH</v>
      </c>
      <c r="D15" s="133" t="s">
        <v>54</v>
      </c>
      <c r="E15" s="133" t="s">
        <v>66</v>
      </c>
      <c r="F15" s="134">
        <f>GZH!D15</f>
        <v>44825</v>
      </c>
      <c r="G15" s="134">
        <f>GZH!D14</f>
        <v>49205</v>
      </c>
      <c r="H15" s="139">
        <f>GZH!D9</f>
        <v>4280480</v>
      </c>
      <c r="I15" s="133" t="s">
        <v>67</v>
      </c>
      <c r="J15" s="136">
        <f>GZH!D11</f>
        <v>0.125</v>
      </c>
      <c r="K15" s="137" t="str">
        <f>GZH!D12</f>
        <v>Semi-annually</v>
      </c>
      <c r="L15" s="135">
        <f>GZH!D49</f>
        <v>6921210.5040453319</v>
      </c>
      <c r="M15" s="138">
        <f>GZH!D51</f>
        <v>1856584.5040453319</v>
      </c>
      <c r="N15" s="135">
        <v>4044514.26</v>
      </c>
      <c r="O15" s="138">
        <v>-1020111.48</v>
      </c>
      <c r="Q15" s="82"/>
    </row>
    <row r="16" spans="2:17">
      <c r="B16" s="62"/>
      <c r="C16" s="133" t="str">
        <f>Nhimbe!D6</f>
        <v>Nhimbe</v>
      </c>
      <c r="D16" s="133" t="s">
        <v>54</v>
      </c>
      <c r="E16" s="133" t="s">
        <v>66</v>
      </c>
      <c r="F16" s="134">
        <f>Nhimbe!D14</f>
        <v>44113</v>
      </c>
      <c r="G16" s="134">
        <f>Nhimbe!D13</f>
        <v>45938</v>
      </c>
      <c r="H16" s="135">
        <f>Nhimbe!D8</f>
        <v>2900000.0000227918</v>
      </c>
      <c r="I16" s="133" t="s">
        <v>67</v>
      </c>
      <c r="J16" s="136">
        <f>Nhimbe!D10</f>
        <v>7.0000000000000007E-2</v>
      </c>
      <c r="K16" s="137" t="str">
        <f>Nhimbe!D11</f>
        <v>Annually</v>
      </c>
      <c r="L16" s="135">
        <f>Nhimbe!D26</f>
        <v>3394859.6561352662</v>
      </c>
      <c r="M16" s="138">
        <f>Nhimbe!D28</f>
        <v>-291437.73102009576</v>
      </c>
      <c r="N16" s="135">
        <v>3461565.23</v>
      </c>
      <c r="O16" s="138">
        <v>-224732.15</v>
      </c>
      <c r="Q16" s="82"/>
    </row>
    <row r="17" spans="2:17">
      <c r="B17" s="62"/>
      <c r="C17" s="133" t="str">
        <f>'Solgas $5m'!D6</f>
        <v>Solgas</v>
      </c>
      <c r="D17" s="133" t="s">
        <v>54</v>
      </c>
      <c r="E17" s="133" t="s">
        <v>66</v>
      </c>
      <c r="F17" s="134">
        <f>'Solgas $5m'!D13</f>
        <v>43601</v>
      </c>
      <c r="G17" s="134">
        <f>'Solgas $5m'!D12</f>
        <v>46156</v>
      </c>
      <c r="H17" s="135">
        <f>'Solgas $5m'!D7</f>
        <v>5000000.1399999997</v>
      </c>
      <c r="I17" s="133" t="s">
        <v>67</v>
      </c>
      <c r="J17" s="136">
        <f>'Solgas $5m'!D9</f>
        <v>7.4999999999999997E-2</v>
      </c>
      <c r="K17" s="137" t="str">
        <f>'Solgas $5m'!D10</f>
        <v>Semi-annually</v>
      </c>
      <c r="L17" s="135">
        <f>'Solgas $5m'!D27</f>
        <v>6513075.5358393695</v>
      </c>
      <c r="M17" s="138">
        <f>'Solgas $5m'!D29</f>
        <v>-577841.24416062981</v>
      </c>
      <c r="N17" s="135">
        <v>6726235.4800000004</v>
      </c>
      <c r="O17" s="138">
        <v>-364681.3</v>
      </c>
      <c r="Q17" s="82"/>
    </row>
    <row r="18" spans="2:17">
      <c r="B18" s="62"/>
      <c r="C18" s="133" t="str">
        <f>'Solgas $518k'!$D$7</f>
        <v>Solgas</v>
      </c>
      <c r="D18" s="133" t="s">
        <v>54</v>
      </c>
      <c r="E18" s="133" t="s">
        <v>66</v>
      </c>
      <c r="F18" s="134">
        <f>'Solgas $518k'!$D$14</f>
        <v>44281</v>
      </c>
      <c r="G18" s="134">
        <f>'Solgas $518k'!$D$13</f>
        <v>46836</v>
      </c>
      <c r="H18" s="135">
        <f>'Solgas $518k'!$D$8</f>
        <v>518288</v>
      </c>
      <c r="I18" s="133" t="s">
        <v>67</v>
      </c>
      <c r="J18" s="136">
        <f>'Solgas $518k'!$D$10</f>
        <v>0.12</v>
      </c>
      <c r="K18" s="137" t="str">
        <f>'Solgas $518k'!$D$11</f>
        <v>Semi-annually</v>
      </c>
      <c r="L18" s="135">
        <f>'Solgas $518k'!$D$33</f>
        <v>577397.43413082254</v>
      </c>
      <c r="M18" s="138">
        <f>'Solgas $518k'!$D$35</f>
        <v>-53694.095869177487</v>
      </c>
      <c r="N18" s="135">
        <v>402786.75</v>
      </c>
      <c r="O18" s="138">
        <v>-13119.06</v>
      </c>
      <c r="Q18" s="82"/>
    </row>
    <row r="19" spans="2:17">
      <c r="B19" s="62"/>
      <c r="C19" s="133" t="str">
        <f>'Glytime '!D6</f>
        <v>Glytime</v>
      </c>
      <c r="D19" s="133" t="s">
        <v>54</v>
      </c>
      <c r="E19" s="133" t="s">
        <v>66</v>
      </c>
      <c r="F19" s="134">
        <f>'Glytime '!D13</f>
        <v>45240</v>
      </c>
      <c r="G19" s="134">
        <f>'Glytime '!D12</f>
        <v>47065</v>
      </c>
      <c r="H19" s="135">
        <f>'Glytime '!D7</f>
        <v>900000.08</v>
      </c>
      <c r="I19" s="133" t="s">
        <v>67</v>
      </c>
      <c r="J19" s="136">
        <f>'Glytime '!D9</f>
        <v>0.12</v>
      </c>
      <c r="K19" s="137" t="str">
        <f>'Glytime '!D10</f>
        <v>Semi-annually</v>
      </c>
      <c r="L19" s="135">
        <f>'Glytime '!D32</f>
        <v>899113.85994750133</v>
      </c>
      <c r="M19" s="138">
        <f>'Glytime '!D34</f>
        <v>-100431.10005249863</v>
      </c>
      <c r="N19" s="135">
        <v>960777.18</v>
      </c>
      <c r="O19" s="138">
        <v>-38767.79</v>
      </c>
      <c r="Q19" s="82"/>
    </row>
    <row r="20" spans="2:17">
      <c r="B20" s="62"/>
      <c r="C20" s="140" t="str">
        <f>Zimcampus!D6</f>
        <v>Zimcampus</v>
      </c>
      <c r="D20" s="140" t="s">
        <v>54</v>
      </c>
      <c r="E20" s="140" t="s">
        <v>68</v>
      </c>
      <c r="F20" s="141">
        <f>Zimcampus!D13</f>
        <v>45601</v>
      </c>
      <c r="G20" s="141">
        <f>Zimcampus!D12</f>
        <v>45783.5</v>
      </c>
      <c r="H20" s="142">
        <f>Zimcampus!D7</f>
        <v>200000</v>
      </c>
      <c r="I20" s="140" t="s">
        <v>67</v>
      </c>
      <c r="J20" s="143">
        <f>Zimcampus!D9</f>
        <v>0.1</v>
      </c>
      <c r="K20" s="144" t="str">
        <f>Zimcampus!D10</f>
        <v>Semi-annually</v>
      </c>
      <c r="L20" s="142">
        <f>Zimcampus!D25</f>
        <v>197744.3232000721</v>
      </c>
      <c r="M20" s="145">
        <f>Zimcampus!D27</f>
        <v>-5324.166799927887</v>
      </c>
      <c r="N20" s="142">
        <v>200221.4</v>
      </c>
      <c r="O20" s="145">
        <v>-2847.1</v>
      </c>
      <c r="Q20" s="82"/>
    </row>
    <row r="21" spans="2:17">
      <c r="B21" s="62"/>
      <c r="L21" s="152">
        <f>SUM(L12:L20)</f>
        <v>42438304.435964316</v>
      </c>
      <c r="M21" s="155">
        <f>SUM(M12:M20)</f>
        <v>-4135774.9940401306</v>
      </c>
      <c r="N21" s="152">
        <f>SUM(N12:N20)</f>
        <v>39359240.759999998</v>
      </c>
      <c r="O21" s="155">
        <f>SUM(O12:O20)</f>
        <v>-6999652.9299999988</v>
      </c>
      <c r="Q21" s="82"/>
    </row>
    <row r="22" spans="2:17">
      <c r="B22" s="62"/>
      <c r="Q22" s="82"/>
    </row>
    <row r="23" spans="2:17">
      <c r="B23" s="62"/>
      <c r="Q23" s="82"/>
    </row>
    <row r="24" spans="2:17">
      <c r="B24" s="62"/>
      <c r="Q24" s="82"/>
    </row>
    <row r="25" spans="2:17">
      <c r="B25" s="62"/>
      <c r="Q25" s="82"/>
    </row>
    <row r="26" spans="2:17">
      <c r="B26" s="62"/>
      <c r="Q26" s="82"/>
    </row>
    <row r="27" spans="2:17">
      <c r="B27" s="62"/>
      <c r="Q27" s="82"/>
    </row>
    <row r="28" spans="2:17">
      <c r="B28" s="62"/>
      <c r="Q28" s="82"/>
    </row>
    <row r="29" spans="2:17">
      <c r="B29" s="62"/>
      <c r="Q29" s="82"/>
    </row>
    <row r="30" spans="2:17">
      <c r="B30" s="62"/>
      <c r="Q30" s="82"/>
    </row>
    <row r="31" spans="2:17" ht="14.45" thickBot="1">
      <c r="B31" s="84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85"/>
    </row>
    <row r="32" spans="2:17" ht="14.45" thickTop="1"/>
  </sheetData>
  <mergeCells count="3">
    <mergeCell ref="L10:M10"/>
    <mergeCell ref="N10:O10"/>
    <mergeCell ref="C6:D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56EE-7835-284B-9FF2-AF0668104848}">
  <sheetPr codeName="Sheet3"/>
  <dimension ref="B4:P48"/>
  <sheetViews>
    <sheetView showGridLines="0" tabSelected="1" zoomScale="137" zoomScaleNormal="75" workbookViewId="0">
      <selection activeCell="E11" sqref="E11"/>
    </sheetView>
  </sheetViews>
  <sheetFormatPr defaultColWidth="9.25" defaultRowHeight="13.9"/>
  <cols>
    <col min="1" max="2" width="9.25" style="38"/>
    <col min="3" max="3" width="35" style="38" bestFit="1" customWidth="1"/>
    <col min="4" max="4" width="29.5" style="38" bestFit="1" customWidth="1"/>
    <col min="5" max="5" width="17.75" style="38" customWidth="1"/>
    <col min="6" max="6" width="24.5" style="38" customWidth="1"/>
    <col min="7" max="7" width="23" style="38" bestFit="1" customWidth="1"/>
    <col min="8" max="8" width="20" style="38" customWidth="1"/>
    <col min="9" max="9" width="14" style="38" bestFit="1" customWidth="1"/>
    <col min="10" max="10" width="27.25" style="38" bestFit="1" customWidth="1"/>
    <col min="11" max="12" width="27.25" style="38" customWidth="1"/>
    <col min="13" max="13" width="14.25" style="38" bestFit="1" customWidth="1"/>
    <col min="14" max="14" width="22.25" style="38" bestFit="1" customWidth="1"/>
    <col min="15" max="23" width="14.25" style="38" bestFit="1" customWidth="1"/>
    <col min="24" max="24" width="16.75" style="38" bestFit="1" customWidth="1"/>
    <col min="25" max="16384" width="9.25" style="38"/>
  </cols>
  <sheetData>
    <row r="4" spans="2:16" ht="14.45" thickBot="1"/>
    <row r="5" spans="2:16" ht="14.45" thickTop="1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81"/>
    </row>
    <row r="6" spans="2:16">
      <c r="B6" s="62"/>
      <c r="C6" s="16" t="s">
        <v>55</v>
      </c>
      <c r="D6" s="74" t="s">
        <v>69</v>
      </c>
      <c r="H6" s="54"/>
      <c r="P6" s="82"/>
    </row>
    <row r="7" spans="2:16">
      <c r="B7" s="62"/>
      <c r="C7" s="16" t="s">
        <v>70</v>
      </c>
      <c r="D7" s="75">
        <v>45657</v>
      </c>
      <c r="H7" s="54"/>
      <c r="P7" s="82"/>
    </row>
    <row r="8" spans="2:16">
      <c r="B8" s="62"/>
      <c r="C8" s="16" t="s">
        <v>71</v>
      </c>
      <c r="D8" s="77">
        <v>5000000</v>
      </c>
      <c r="I8" s="32"/>
      <c r="P8" s="82"/>
    </row>
    <row r="9" spans="2:16">
      <c r="B9" s="62"/>
      <c r="C9" s="16" t="s">
        <v>57</v>
      </c>
      <c r="D9" s="74" t="s">
        <v>66</v>
      </c>
      <c r="P9" s="82"/>
    </row>
    <row r="10" spans="2:16">
      <c r="B10" s="62"/>
      <c r="C10" s="16" t="s">
        <v>72</v>
      </c>
      <c r="D10" s="78">
        <v>7.4999999999999997E-2</v>
      </c>
      <c r="E10" s="129">
        <f>D8*D10+D12</f>
        <v>2824443.3728490798</v>
      </c>
      <c r="G10" s="56"/>
      <c r="H10" s="57"/>
      <c r="I10" s="33"/>
      <c r="J10" s="54"/>
      <c r="K10" s="54"/>
      <c r="L10" s="54"/>
      <c r="P10" s="82"/>
    </row>
    <row r="11" spans="2:16">
      <c r="B11" s="62"/>
      <c r="C11" s="16" t="s">
        <v>73</v>
      </c>
      <c r="D11" s="79" t="s">
        <v>74</v>
      </c>
      <c r="G11" s="56"/>
      <c r="H11" s="58"/>
      <c r="I11" s="34"/>
      <c r="J11" s="59"/>
      <c r="K11" s="59"/>
      <c r="L11" s="59"/>
      <c r="P11" s="82"/>
    </row>
    <row r="12" spans="2:16">
      <c r="B12" s="62"/>
      <c r="C12" s="16" t="s">
        <v>75</v>
      </c>
      <c r="D12" s="80">
        <v>2449443.3728490798</v>
      </c>
      <c r="E12" s="38" t="s">
        <v>76</v>
      </c>
      <c r="F12" s="35"/>
      <c r="G12" s="60"/>
      <c r="H12" s="59"/>
      <c r="I12" s="34"/>
      <c r="J12" s="59"/>
      <c r="K12" s="59"/>
      <c r="L12" s="59"/>
      <c r="P12" s="82"/>
    </row>
    <row r="13" spans="2:16">
      <c r="B13" s="62"/>
      <c r="C13" s="16" t="s">
        <v>59</v>
      </c>
      <c r="D13" s="75">
        <f>D14+7*365</f>
        <v>46119</v>
      </c>
      <c r="F13" s="34"/>
      <c r="G13" s="61"/>
      <c r="H13" s="59"/>
      <c r="I13" s="34"/>
      <c r="J13" s="59"/>
      <c r="K13" s="59"/>
      <c r="L13" s="59"/>
      <c r="P13" s="82"/>
    </row>
    <row r="14" spans="2:16">
      <c r="B14" s="62"/>
      <c r="C14" s="16" t="s">
        <v>58</v>
      </c>
      <c r="D14" s="75">
        <v>43564</v>
      </c>
      <c r="E14" s="58"/>
      <c r="F14" s="59"/>
      <c r="G14" s="59"/>
      <c r="H14" s="59"/>
      <c r="I14" s="59"/>
      <c r="J14" s="59"/>
      <c r="K14" s="59"/>
      <c r="L14" s="59"/>
      <c r="P14" s="82"/>
    </row>
    <row r="15" spans="2:16">
      <c r="B15" s="62"/>
      <c r="C15" s="16" t="s">
        <v>77</v>
      </c>
      <c r="D15" s="75">
        <f>I23</f>
        <v>45754</v>
      </c>
      <c r="E15" s="58"/>
      <c r="F15" s="40"/>
      <c r="G15" s="40"/>
      <c r="H15" s="40"/>
      <c r="I15" s="40"/>
      <c r="J15" s="34"/>
      <c r="K15" s="34"/>
      <c r="L15" s="34"/>
      <c r="P15" s="82"/>
    </row>
    <row r="16" spans="2:16">
      <c r="B16" s="62"/>
      <c r="C16" s="16" t="s">
        <v>70</v>
      </c>
      <c r="D16" s="75">
        <f>D7</f>
        <v>45657</v>
      </c>
      <c r="H16" s="59"/>
      <c r="I16" s="34"/>
      <c r="J16" s="59"/>
      <c r="K16" s="59"/>
      <c r="L16" s="59"/>
      <c r="P16" s="82"/>
    </row>
    <row r="17" spans="2:16" ht="14.65" customHeight="1">
      <c r="B17" s="62"/>
      <c r="C17" s="16" t="s">
        <v>78</v>
      </c>
      <c r="D17" s="78">
        <f>'Market Inputs '!H5</f>
        <v>2.9600000000000001E-2</v>
      </c>
      <c r="E17" s="40" t="s">
        <v>79</v>
      </c>
      <c r="F17" s="40"/>
      <c r="G17" s="40"/>
      <c r="H17" s="40"/>
      <c r="I17" s="40"/>
      <c r="J17" s="36"/>
      <c r="K17" s="36"/>
      <c r="L17" s="36"/>
      <c r="P17" s="82"/>
    </row>
    <row r="18" spans="2:16" ht="14.65" customHeight="1">
      <c r="B18" s="62"/>
      <c r="C18" s="16" t="s">
        <v>80</v>
      </c>
      <c r="D18" s="78">
        <f>'Market Inputs '!H9</f>
        <v>0.1202</v>
      </c>
      <c r="E18" s="40" t="s">
        <v>81</v>
      </c>
      <c r="F18" s="40"/>
      <c r="G18" s="40"/>
      <c r="H18" s="40"/>
      <c r="I18" s="40"/>
      <c r="J18" s="36"/>
      <c r="K18" s="36"/>
      <c r="L18" s="36"/>
      <c r="P18" s="82"/>
    </row>
    <row r="19" spans="2:16" ht="14.65" customHeight="1">
      <c r="B19" s="62"/>
      <c r="D19" s="92"/>
      <c r="E19" s="40"/>
      <c r="F19" s="40"/>
      <c r="G19" s="40"/>
      <c r="H19" s="40"/>
      <c r="I19" s="40"/>
      <c r="J19" s="36"/>
      <c r="K19" s="36"/>
      <c r="L19" s="36"/>
      <c r="P19" s="82"/>
    </row>
    <row r="20" spans="2:16">
      <c r="B20" s="62"/>
      <c r="G20" s="54" t="s">
        <v>82</v>
      </c>
      <c r="P20" s="82"/>
    </row>
    <row r="21" spans="2:16">
      <c r="B21" s="62"/>
      <c r="C21" s="96" t="s">
        <v>83</v>
      </c>
      <c r="D21" s="96" t="s">
        <v>84</v>
      </c>
      <c r="E21" s="96" t="s">
        <v>85</v>
      </c>
      <c r="F21" s="96" t="s">
        <v>86</v>
      </c>
      <c r="G21" s="96" t="s">
        <v>87</v>
      </c>
      <c r="H21" s="96" t="s">
        <v>88</v>
      </c>
      <c r="I21" s="100" t="s">
        <v>89</v>
      </c>
      <c r="J21" s="96" t="s">
        <v>90</v>
      </c>
      <c r="K21" s="96" t="s">
        <v>91</v>
      </c>
      <c r="L21" s="96" t="s">
        <v>92</v>
      </c>
      <c r="M21" s="96" t="s">
        <v>71</v>
      </c>
      <c r="N21" s="97" t="s">
        <v>93</v>
      </c>
      <c r="P21" s="82"/>
    </row>
    <row r="22" spans="2:16">
      <c r="B22" s="62"/>
      <c r="C22" s="28">
        <f>(I22-$D$16)/365</f>
        <v>0</v>
      </c>
      <c r="D22" s="16"/>
      <c r="E22" s="16"/>
      <c r="F22" s="29"/>
      <c r="G22" s="28"/>
      <c r="H22" s="29"/>
      <c r="I22" s="30">
        <f>D16</f>
        <v>45657</v>
      </c>
      <c r="J22" s="16"/>
      <c r="K22" s="28"/>
      <c r="L22" s="28">
        <f>D12</f>
        <v>2449443.3728490798</v>
      </c>
      <c r="M22" s="28"/>
      <c r="N22" s="28">
        <f>D8</f>
        <v>5000000</v>
      </c>
      <c r="P22" s="82"/>
    </row>
    <row r="23" spans="2:16">
      <c r="B23" s="62"/>
      <c r="C23" s="28">
        <f>(I23-$D$16)/365</f>
        <v>0.26575342465753427</v>
      </c>
      <c r="D23" s="31">
        <v>4.1803648541951739E-2</v>
      </c>
      <c r="E23" s="31">
        <f>$D$18+$D$17+D23</f>
        <v>0.19160364854195172</v>
      </c>
      <c r="F23" s="29">
        <f>SUM(J23,K23,M23)</f>
        <v>2631626.4225592194</v>
      </c>
      <c r="G23" s="31">
        <f>1/(1+E23)^(C23)</f>
        <v>0.95448192144555244</v>
      </c>
      <c r="H23" s="29">
        <f>F23*G23</f>
        <v>2511839.8443312091</v>
      </c>
      <c r="I23" s="30">
        <f>WORKDAY(C42-1, 1, 'Market Inputs '!$B$23:$B$36)</f>
        <v>45754</v>
      </c>
      <c r="J23" s="28">
        <f>(I23-I22)/365*$D$10*(N22+L22)</f>
        <v>148478.63160952617</v>
      </c>
      <c r="K23" s="28">
        <f>$D$12/3</f>
        <v>816481.12428302655</v>
      </c>
      <c r="L23" s="28">
        <f>L22-K23</f>
        <v>1632962.2485660533</v>
      </c>
      <c r="M23" s="28">
        <f>$N$22/3</f>
        <v>1666666.6666666667</v>
      </c>
      <c r="N23" s="28">
        <f>N22-M23</f>
        <v>3333333.333333333</v>
      </c>
      <c r="P23" s="82"/>
    </row>
    <row r="24" spans="2:16">
      <c r="B24" s="62"/>
      <c r="C24" s="28">
        <f>(I24-$D$16)/365</f>
        <v>0.76438356164383559</v>
      </c>
      <c r="D24" s="31">
        <v>4.1637594208875861E-2</v>
      </c>
      <c r="E24" s="31">
        <f>$D$18+$D$17+D24</f>
        <v>0.19143759420887585</v>
      </c>
      <c r="F24" s="29">
        <f>SUM(J24,K24,M24)</f>
        <v>2668873.6394234649</v>
      </c>
      <c r="G24" s="31">
        <f>1/(1+E24)^(C24)</f>
        <v>0.87468634990160521</v>
      </c>
      <c r="H24" s="29">
        <f>F24*G24</f>
        <v>2334427.3420159235</v>
      </c>
      <c r="I24" s="30">
        <f>WORKDAY(C43-1, 1, 'Market Inputs '!$B$23:$B$36)</f>
        <v>45936</v>
      </c>
      <c r="J24" s="28">
        <f>(I24-I23)/365*$D$10*(N23+L23)</f>
        <v>185725.84847377156</v>
      </c>
      <c r="K24" s="28">
        <f>$D$12/3</f>
        <v>816481.12428302655</v>
      </c>
      <c r="L24" s="28">
        <f>L23-K24</f>
        <v>816481.12428302679</v>
      </c>
      <c r="M24" s="28">
        <f>$N$22/3</f>
        <v>1666666.6666666667</v>
      </c>
      <c r="N24" s="28">
        <f>N23-M24</f>
        <v>1666666.6666666663</v>
      </c>
      <c r="P24" s="82"/>
    </row>
    <row r="25" spans="2:16">
      <c r="B25" s="62"/>
      <c r="C25" s="28">
        <f>(I25-$D$16)/365</f>
        <v>1.2657534246575342</v>
      </c>
      <c r="D25" s="31">
        <v>4.1488364373809386E-2</v>
      </c>
      <c r="E25" s="31">
        <f>$D$18+$D$17+D25</f>
        <v>0.19128836437380936</v>
      </c>
      <c r="F25" s="29">
        <f t="shared" ref="F25" si="0">SUM(J25,K25,M25)</f>
        <v>2576520.9510340346</v>
      </c>
      <c r="G25" s="31">
        <f>1/(1+E25)^(C25)</f>
        <v>0.80127454931874886</v>
      </c>
      <c r="H25" s="29">
        <f t="shared" ref="H25" si="1">F25*G25</f>
        <v>2064500.6638501103</v>
      </c>
      <c r="I25" s="30">
        <f>WORKDAY(C44-1, 1, 'Market Inputs '!$B$23:$B$36)</f>
        <v>46119</v>
      </c>
      <c r="J25" s="28">
        <f>(I25-I24)/365*$D$10*(N24+L24)</f>
        <v>93373.160084341202</v>
      </c>
      <c r="K25" s="28">
        <f t="shared" ref="K25" si="2">$D$12/3</f>
        <v>816481.12428302655</v>
      </c>
      <c r="L25" s="28">
        <f>L24-K25</f>
        <v>0</v>
      </c>
      <c r="M25" s="28">
        <f>$N$22/3</f>
        <v>1666666.6666666667</v>
      </c>
      <c r="N25" s="28">
        <f t="shared" ref="N25" si="3">N24-M25</f>
        <v>0</v>
      </c>
      <c r="P25" s="82"/>
    </row>
    <row r="26" spans="2:16">
      <c r="B26" s="62"/>
      <c r="C26" s="34"/>
      <c r="D26" s="83"/>
      <c r="E26" s="34"/>
      <c r="F26" s="39"/>
      <c r="G26" s="40"/>
      <c r="H26" s="34"/>
      <c r="I26" s="34"/>
      <c r="J26" s="34"/>
      <c r="K26" s="34"/>
      <c r="L26" s="34"/>
      <c r="P26" s="82"/>
    </row>
    <row r="27" spans="2:16">
      <c r="B27" s="62"/>
      <c r="C27" s="34"/>
      <c r="D27" s="39"/>
      <c r="E27" s="34"/>
      <c r="F27" s="39"/>
      <c r="G27" s="40"/>
      <c r="H27" s="34"/>
      <c r="I27" s="34"/>
      <c r="J27" s="34"/>
      <c r="K27" s="34"/>
      <c r="L27" s="34"/>
      <c r="P27" s="82"/>
    </row>
    <row r="28" spans="2:16">
      <c r="B28" s="62"/>
      <c r="C28" s="34"/>
      <c r="D28" s="39"/>
      <c r="E28" s="34"/>
      <c r="F28" s="39"/>
      <c r="G28" s="40"/>
      <c r="H28" s="34"/>
      <c r="I28" s="34"/>
      <c r="J28" s="34"/>
      <c r="K28" s="34"/>
      <c r="L28" s="34"/>
      <c r="P28" s="82"/>
    </row>
    <row r="29" spans="2:16">
      <c r="B29" s="62"/>
      <c r="C29" s="16" t="s">
        <v>64</v>
      </c>
      <c r="D29" s="43">
        <f>SUM(H23:H25)</f>
        <v>6910767.8501972426</v>
      </c>
      <c r="E29" s="40"/>
      <c r="F29" s="34"/>
      <c r="G29" s="34"/>
      <c r="H29" s="34"/>
      <c r="I29" s="34"/>
      <c r="P29" s="82"/>
    </row>
    <row r="30" spans="2:16">
      <c r="B30" s="62"/>
      <c r="C30" s="16" t="s">
        <v>94</v>
      </c>
      <c r="D30" s="43">
        <f>D8+D12</f>
        <v>7449443.3728490798</v>
      </c>
      <c r="E30" s="40"/>
      <c r="F30" s="34"/>
      <c r="G30" s="34"/>
      <c r="H30" s="34"/>
      <c r="I30" s="34"/>
      <c r="P30" s="82"/>
    </row>
    <row r="31" spans="2:16">
      <c r="B31" s="62"/>
      <c r="C31" s="16" t="s">
        <v>65</v>
      </c>
      <c r="D31" s="43">
        <f>D29-D30</f>
        <v>-538675.52265183721</v>
      </c>
      <c r="E31" s="40"/>
      <c r="P31" s="82"/>
    </row>
    <row r="32" spans="2:16">
      <c r="B32" s="62"/>
      <c r="F32" s="70"/>
      <c r="G32" s="40"/>
      <c r="P32" s="82"/>
    </row>
    <row r="33" spans="2:16">
      <c r="B33" s="62"/>
      <c r="F33" s="63"/>
      <c r="J33" s="64"/>
      <c r="K33" s="64"/>
      <c r="L33" s="64"/>
      <c r="P33" s="82"/>
    </row>
    <row r="34" spans="2:16">
      <c r="B34" s="62"/>
      <c r="C34" s="16"/>
      <c r="D34" s="41" t="s">
        <v>67</v>
      </c>
      <c r="E34" s="41" t="s">
        <v>95</v>
      </c>
      <c r="F34" s="42" t="s">
        <v>96</v>
      </c>
      <c r="G34" s="56"/>
      <c r="P34" s="82"/>
    </row>
    <row r="35" spans="2:16">
      <c r="B35" s="62"/>
      <c r="C35" s="16" t="s">
        <v>97</v>
      </c>
      <c r="D35" s="43">
        <f>D29</f>
        <v>6910767.8501972426</v>
      </c>
      <c r="E35" s="16">
        <f>'Market Inputs '!H8</f>
        <v>25.798500000000001</v>
      </c>
      <c r="F35" s="45">
        <f>D35*E35</f>
        <v>178287444.38331357</v>
      </c>
      <c r="G35" s="72"/>
      <c r="P35" s="82"/>
    </row>
    <row r="36" spans="2:16">
      <c r="B36" s="62"/>
      <c r="C36" s="16" t="s">
        <v>98</v>
      </c>
      <c r="D36" s="43">
        <f>D30</f>
        <v>7449443.3728490798</v>
      </c>
      <c r="E36" s="44">
        <f>'Market Inputs '!H8</f>
        <v>25.798500000000001</v>
      </c>
      <c r="F36" s="45">
        <f>D36*E36</f>
        <v>192184464.85444698</v>
      </c>
      <c r="P36" s="82"/>
    </row>
    <row r="37" spans="2:16">
      <c r="B37" s="62"/>
      <c r="C37" s="16"/>
      <c r="D37" s="16"/>
      <c r="E37" s="16"/>
      <c r="F37" s="45">
        <f>F35-F36</f>
        <v>-13897020.471133411</v>
      </c>
      <c r="P37" s="82"/>
    </row>
    <row r="38" spans="2:16">
      <c r="B38" s="62"/>
      <c r="P38" s="82"/>
    </row>
    <row r="39" spans="2:16">
      <c r="B39" s="62"/>
      <c r="P39" s="82"/>
    </row>
    <row r="40" spans="2:16">
      <c r="B40" s="62"/>
      <c r="P40" s="82"/>
    </row>
    <row r="41" spans="2:16">
      <c r="B41" s="62"/>
      <c r="C41" s="17" t="s">
        <v>99</v>
      </c>
      <c r="P41" s="82"/>
    </row>
    <row r="42" spans="2:16">
      <c r="B42" s="62"/>
      <c r="C42" s="18">
        <f>C43-365/2</f>
        <v>45754</v>
      </c>
      <c r="P42" s="82"/>
    </row>
    <row r="43" spans="2:16">
      <c r="B43" s="62"/>
      <c r="C43" s="18">
        <f>C44-365/2</f>
        <v>45936.5</v>
      </c>
      <c r="P43" s="82"/>
    </row>
    <row r="44" spans="2:16">
      <c r="B44" s="62"/>
      <c r="C44" s="18">
        <f>D13</f>
        <v>46119</v>
      </c>
      <c r="P44" s="82"/>
    </row>
    <row r="45" spans="2:16">
      <c r="B45" s="62"/>
      <c r="C45" s="40"/>
      <c r="P45" s="82"/>
    </row>
    <row r="46" spans="2:16">
      <c r="B46" s="62"/>
      <c r="C46" s="69"/>
      <c r="P46" s="82"/>
    </row>
    <row r="47" spans="2:16" ht="14.45" thickBot="1">
      <c r="B47" s="84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85"/>
      <c r="O47" s="48"/>
      <c r="P47" s="85"/>
    </row>
    <row r="48" spans="2:16" ht="14.45" thickTop="1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F6AC-FD6E-2B4D-8B85-9F30033F424C}">
  <sheetPr codeName="Sheet4"/>
  <dimension ref="B1:P54"/>
  <sheetViews>
    <sheetView showGridLines="0" zoomScale="46" workbookViewId="0">
      <selection activeCell="N22" sqref="N22"/>
    </sheetView>
  </sheetViews>
  <sheetFormatPr defaultColWidth="11.25" defaultRowHeight="15.6"/>
  <cols>
    <col min="3" max="3" width="30.25" bestFit="1" customWidth="1"/>
    <col min="4" max="4" width="17.75" customWidth="1"/>
    <col min="5" max="5" width="11.5" bestFit="1" customWidth="1"/>
    <col min="6" max="6" width="12.75" bestFit="1" customWidth="1"/>
    <col min="7" max="7" width="11.5" bestFit="1" customWidth="1"/>
    <col min="8" max="8" width="12.25" bestFit="1" customWidth="1"/>
    <col min="9" max="9" width="13.75" bestFit="1" customWidth="1"/>
    <col min="10" max="10" width="11.5" bestFit="1" customWidth="1"/>
    <col min="11" max="11" width="16" bestFit="1" customWidth="1"/>
    <col min="12" max="12" width="16" customWidth="1"/>
    <col min="13" max="13" width="11.5" bestFit="1" customWidth="1"/>
    <col min="14" max="14" width="11.75" bestFit="1" customWidth="1"/>
  </cols>
  <sheetData>
    <row r="1" spans="2:16" ht="16.149999999999999" thickTop="1">
      <c r="E1" s="23"/>
      <c r="F1" s="23"/>
      <c r="G1" s="23"/>
      <c r="H1" s="23"/>
      <c r="I1" s="23"/>
      <c r="J1" s="23"/>
      <c r="K1" s="14"/>
      <c r="L1" s="15"/>
      <c r="M1" s="15"/>
    </row>
    <row r="2" spans="2:16">
      <c r="C2" s="15"/>
      <c r="D2" s="15"/>
      <c r="E2" s="24"/>
      <c r="F2" s="24"/>
      <c r="G2" s="24"/>
      <c r="J2" s="24"/>
      <c r="K2" s="15"/>
      <c r="L2" s="15"/>
      <c r="M2" s="15"/>
    </row>
    <row r="3" spans="2:16">
      <c r="C3" s="15"/>
      <c r="D3" s="15"/>
      <c r="E3" s="24"/>
      <c r="F3" s="25"/>
      <c r="G3" s="24"/>
      <c r="J3" s="24"/>
      <c r="K3" s="15"/>
      <c r="L3" s="15"/>
      <c r="M3" s="15"/>
    </row>
    <row r="4" spans="2:16" ht="16.149999999999999" thickBot="1">
      <c r="C4" s="15"/>
      <c r="D4" s="15"/>
      <c r="E4" s="24"/>
      <c r="F4" s="25"/>
      <c r="G4" s="24"/>
      <c r="J4" s="24"/>
      <c r="K4" s="15"/>
      <c r="L4" s="15"/>
      <c r="M4" s="15"/>
    </row>
    <row r="5" spans="2:16" ht="16.149999999999999" thickTop="1">
      <c r="B5" s="124"/>
      <c r="C5" s="50"/>
      <c r="D5" s="50"/>
      <c r="E5" s="50"/>
      <c r="F5" s="51"/>
      <c r="G5" s="50"/>
      <c r="H5" s="50"/>
      <c r="I5" s="50"/>
      <c r="J5" s="50"/>
      <c r="K5" s="50"/>
      <c r="L5" s="50"/>
      <c r="M5" s="50"/>
      <c r="N5" s="50"/>
      <c r="O5" s="52"/>
      <c r="P5" s="53"/>
    </row>
    <row r="6" spans="2:16">
      <c r="B6" s="65"/>
      <c r="C6" s="16" t="s">
        <v>55</v>
      </c>
      <c r="D6" s="116" t="s">
        <v>69</v>
      </c>
      <c r="E6" s="38"/>
      <c r="F6" s="38"/>
      <c r="G6" s="38"/>
      <c r="H6" s="54"/>
      <c r="I6" s="38"/>
      <c r="J6" s="38"/>
      <c r="K6" s="38"/>
      <c r="L6" s="38"/>
      <c r="M6" s="38"/>
      <c r="N6" s="38"/>
      <c r="P6" s="55"/>
    </row>
    <row r="7" spans="2:16">
      <c r="B7" s="65"/>
      <c r="C7" s="16" t="s">
        <v>70</v>
      </c>
      <c r="D7" s="119">
        <v>45657</v>
      </c>
      <c r="E7" s="38"/>
      <c r="F7" s="38"/>
      <c r="G7" s="38"/>
      <c r="H7" s="54"/>
      <c r="I7" s="38"/>
      <c r="J7" s="38"/>
      <c r="K7" s="38"/>
      <c r="L7" s="38"/>
      <c r="M7" s="38"/>
      <c r="N7" s="38"/>
      <c r="P7" s="55"/>
    </row>
    <row r="8" spans="2:16">
      <c r="B8" s="65"/>
      <c r="C8" s="16" t="s">
        <v>71</v>
      </c>
      <c r="D8" s="120">
        <v>200059.91</v>
      </c>
      <c r="E8" s="38"/>
      <c r="F8" s="38"/>
      <c r="G8" s="38"/>
      <c r="H8" s="38"/>
      <c r="I8" s="32"/>
      <c r="J8" s="38"/>
      <c r="K8" s="38"/>
      <c r="L8" s="38"/>
      <c r="M8" s="38"/>
      <c r="N8" s="38"/>
      <c r="P8" s="55"/>
    </row>
    <row r="9" spans="2:16">
      <c r="B9" s="65"/>
      <c r="C9" s="16" t="s">
        <v>57</v>
      </c>
      <c r="D9" s="116" t="s">
        <v>66</v>
      </c>
      <c r="E9" s="38"/>
      <c r="F9" s="38"/>
      <c r="G9" s="38"/>
      <c r="H9" s="38"/>
      <c r="I9" s="38"/>
      <c r="J9" s="38"/>
      <c r="K9" s="38"/>
      <c r="L9" s="38"/>
      <c r="M9" s="38"/>
      <c r="N9" s="38"/>
      <c r="P9" s="55"/>
    </row>
    <row r="10" spans="2:16">
      <c r="B10" s="65"/>
      <c r="C10" s="16" t="s">
        <v>72</v>
      </c>
      <c r="D10" s="121">
        <v>0.12</v>
      </c>
      <c r="E10" s="38"/>
      <c r="F10" s="38"/>
      <c r="G10" s="56"/>
      <c r="H10" s="57"/>
      <c r="I10" s="33"/>
      <c r="J10" s="54"/>
      <c r="K10" s="38"/>
      <c r="L10" s="38"/>
      <c r="M10" s="38"/>
      <c r="N10" s="38"/>
      <c r="P10" s="55"/>
    </row>
    <row r="11" spans="2:16">
      <c r="B11" s="65"/>
      <c r="C11" s="16" t="s">
        <v>73</v>
      </c>
      <c r="D11" s="122" t="s">
        <v>74</v>
      </c>
      <c r="E11" s="38"/>
      <c r="F11" s="38"/>
      <c r="G11" s="56"/>
      <c r="H11" s="58"/>
      <c r="I11" s="34"/>
      <c r="J11" s="59"/>
      <c r="K11" s="38"/>
      <c r="L11" s="38"/>
      <c r="M11" s="38"/>
      <c r="N11" s="38"/>
      <c r="P11" s="55"/>
    </row>
    <row r="12" spans="2:16">
      <c r="B12" s="65"/>
      <c r="C12" s="16" t="str">
        <f>'[1]Richaw $5m'!A12</f>
        <v>Interest Accrued to 31 December 2024</v>
      </c>
      <c r="D12" s="125">
        <v>37626</v>
      </c>
      <c r="E12" s="38" t="s">
        <v>76</v>
      </c>
      <c r="F12" s="35"/>
      <c r="G12" s="60"/>
      <c r="H12" s="59"/>
      <c r="I12" s="34"/>
      <c r="J12" s="59"/>
      <c r="K12" s="38"/>
      <c r="L12" s="38"/>
      <c r="M12" s="38"/>
      <c r="N12" s="38"/>
      <c r="P12" s="55"/>
    </row>
    <row r="13" spans="2:16">
      <c r="B13" s="65"/>
      <c r="C13" s="16" t="s">
        <v>59</v>
      </c>
      <c r="D13" s="119">
        <f>D14+(5*365)</f>
        <v>46879</v>
      </c>
      <c r="E13" s="38"/>
      <c r="F13" s="34"/>
      <c r="G13" s="61"/>
      <c r="H13" s="59"/>
      <c r="I13" s="34"/>
      <c r="J13" s="59"/>
      <c r="K13" s="38"/>
      <c r="L13" s="38"/>
      <c r="M13" s="38"/>
      <c r="N13" s="38"/>
      <c r="P13" s="55"/>
    </row>
    <row r="14" spans="2:16">
      <c r="B14" s="65"/>
      <c r="C14" s="16" t="s">
        <v>58</v>
      </c>
      <c r="D14" s="119">
        <v>45054</v>
      </c>
      <c r="E14" s="58"/>
      <c r="F14" s="59"/>
      <c r="G14" s="59"/>
      <c r="H14" s="59"/>
      <c r="I14" s="59"/>
      <c r="J14" s="59"/>
      <c r="K14" s="38"/>
      <c r="L14" s="38"/>
      <c r="M14" s="38"/>
      <c r="N14" s="38"/>
      <c r="P14" s="55"/>
    </row>
    <row r="15" spans="2:16">
      <c r="B15" s="65"/>
      <c r="C15" s="16" t="s">
        <v>77</v>
      </c>
      <c r="D15" s="119">
        <f>I23</f>
        <v>45784</v>
      </c>
      <c r="E15" s="58"/>
      <c r="F15" s="40"/>
      <c r="G15" s="40"/>
      <c r="H15" s="40"/>
      <c r="I15" s="40"/>
      <c r="J15" s="34"/>
      <c r="K15" s="38"/>
      <c r="L15" s="38"/>
      <c r="M15" s="38"/>
      <c r="N15" s="38"/>
      <c r="P15" s="55"/>
    </row>
    <row r="16" spans="2:16">
      <c r="B16" s="65"/>
      <c r="C16" s="16" t="s">
        <v>70</v>
      </c>
      <c r="D16" s="119">
        <f>D7</f>
        <v>45657</v>
      </c>
      <c r="E16" s="38"/>
      <c r="F16" s="38"/>
      <c r="G16" s="38"/>
      <c r="H16" s="59"/>
      <c r="I16" s="34"/>
      <c r="J16" s="59"/>
      <c r="K16" s="38"/>
      <c r="L16" s="38"/>
      <c r="M16" s="38"/>
      <c r="N16" s="38"/>
      <c r="P16" s="55"/>
    </row>
    <row r="17" spans="2:16">
      <c r="B17" s="65"/>
      <c r="C17" s="16" t="s">
        <v>78</v>
      </c>
      <c r="D17" s="121">
        <f>'Market Inputs '!H5</f>
        <v>2.9600000000000001E-2</v>
      </c>
      <c r="E17" s="40" t="s">
        <v>79</v>
      </c>
      <c r="F17" s="40"/>
      <c r="G17" s="40"/>
      <c r="H17" s="40"/>
      <c r="I17" s="40"/>
      <c r="J17" s="36"/>
      <c r="K17" s="38"/>
      <c r="L17" s="38"/>
      <c r="M17" s="38"/>
      <c r="N17" s="38"/>
      <c r="P17" s="55"/>
    </row>
    <row r="18" spans="2:16">
      <c r="B18" s="65"/>
      <c r="C18" s="16" t="s">
        <v>80</v>
      </c>
      <c r="D18" s="121">
        <f>'Market Inputs '!H9</f>
        <v>0.1202</v>
      </c>
      <c r="E18" s="6" t="s">
        <v>81</v>
      </c>
      <c r="F18" s="40"/>
      <c r="G18" s="40"/>
      <c r="H18" s="40"/>
      <c r="I18" s="40"/>
      <c r="J18" s="36"/>
      <c r="K18" s="38"/>
      <c r="L18" s="38"/>
      <c r="M18" s="38"/>
      <c r="N18" s="38"/>
      <c r="P18" s="55"/>
    </row>
    <row r="19" spans="2:16">
      <c r="B19" s="65"/>
      <c r="C19" s="38"/>
      <c r="D19" s="40"/>
      <c r="E19" s="40"/>
      <c r="F19" s="40"/>
      <c r="G19" s="40"/>
      <c r="H19" s="40"/>
      <c r="I19" s="40"/>
      <c r="J19" s="36" t="s">
        <v>100</v>
      </c>
      <c r="K19" s="38"/>
      <c r="L19" s="38"/>
      <c r="M19" s="38"/>
      <c r="N19" s="38"/>
      <c r="P19" s="55"/>
    </row>
    <row r="20" spans="2:16">
      <c r="B20" s="65"/>
      <c r="C20" s="38"/>
      <c r="D20" s="38"/>
      <c r="E20" s="38"/>
      <c r="F20" s="38"/>
      <c r="H20" s="38"/>
      <c r="I20" s="38"/>
      <c r="J20" s="38"/>
      <c r="K20" s="38"/>
      <c r="L20" s="38"/>
      <c r="M20" s="38"/>
      <c r="N20" s="38"/>
      <c r="P20" s="55"/>
    </row>
    <row r="21" spans="2:16">
      <c r="B21" s="65"/>
      <c r="C21" s="26" t="s">
        <v>83</v>
      </c>
      <c r="D21" s="26" t="s">
        <v>84</v>
      </c>
      <c r="E21" s="26" t="s">
        <v>85</v>
      </c>
      <c r="F21" s="26" t="s">
        <v>86</v>
      </c>
      <c r="G21" s="26" t="s">
        <v>87</v>
      </c>
      <c r="H21" s="26" t="s">
        <v>88</v>
      </c>
      <c r="I21" s="26" t="s">
        <v>82</v>
      </c>
      <c r="J21" s="26" t="s">
        <v>90</v>
      </c>
      <c r="K21" s="26" t="s">
        <v>101</v>
      </c>
      <c r="L21" s="26"/>
      <c r="M21" s="26" t="s">
        <v>71</v>
      </c>
      <c r="N21" s="27" t="s">
        <v>93</v>
      </c>
      <c r="O21" s="15"/>
      <c r="P21" s="55"/>
    </row>
    <row r="22" spans="2:16">
      <c r="B22" s="65"/>
      <c r="C22" s="28">
        <f t="shared" ref="C22" si="0">(I22-$D$16)/365</f>
        <v>0</v>
      </c>
      <c r="D22" s="28"/>
      <c r="E22" s="28"/>
      <c r="F22" s="29"/>
      <c r="G22" s="28"/>
      <c r="H22" s="29"/>
      <c r="I22" s="30">
        <f>D16</f>
        <v>45657</v>
      </c>
      <c r="J22" s="28"/>
      <c r="K22" s="28"/>
      <c r="L22" s="28">
        <f>D12</f>
        <v>37626</v>
      </c>
      <c r="M22" s="28"/>
      <c r="N22" s="28">
        <f>D8</f>
        <v>200059.91</v>
      </c>
      <c r="O22" s="15"/>
      <c r="P22" s="55"/>
    </row>
    <row r="23" spans="2:16">
      <c r="B23" s="65"/>
      <c r="C23" s="28">
        <f t="shared" ref="C23:C29" si="1">(I23-$D$16)/365</f>
        <v>0.34794520547945207</v>
      </c>
      <c r="D23" s="31">
        <v>4.1774986412757543E-2</v>
      </c>
      <c r="E23" s="31">
        <f>$D$18+$D$17+D23</f>
        <v>0.19157498641275753</v>
      </c>
      <c r="F23" s="29">
        <f>SUM(J23,K23,M23)</f>
        <v>43879.330735342461</v>
      </c>
      <c r="G23" s="31">
        <f>1/(1+E23)^(C23)</f>
        <v>0.94083601017200691</v>
      </c>
      <c r="H23" s="29">
        <f>F23*G23</f>
        <v>41283.254458057512</v>
      </c>
      <c r="I23" s="148">
        <f>WORKDAY(C44-1, 1, 'Market Inputs '!$B$23:$B$36)</f>
        <v>45784</v>
      </c>
      <c r="J23" s="28">
        <f>(I23-I22)/365*$D$10*(N22+L22)</f>
        <v>9924.2007353424651</v>
      </c>
      <c r="K23" s="28">
        <f>$D$12/7</f>
        <v>5375.1428571428569</v>
      </c>
      <c r="L23" s="28">
        <f>L22-K23</f>
        <v>32250.857142857145</v>
      </c>
      <c r="M23" s="28">
        <f>$N$22/7</f>
        <v>28579.987142857142</v>
      </c>
      <c r="N23" s="28">
        <f t="shared" ref="N23:N29" si="2">N22-M23</f>
        <v>171479.92285714287</v>
      </c>
      <c r="O23" s="15"/>
      <c r="P23" s="55"/>
    </row>
    <row r="24" spans="2:16">
      <c r="B24" s="65"/>
      <c r="C24" s="28">
        <f t="shared" si="1"/>
        <v>0.84657534246575339</v>
      </c>
      <c r="D24" s="31">
        <v>4.1611960960191749E-2</v>
      </c>
      <c r="E24" s="31">
        <f t="shared" ref="E24:E29" si="3">$D$18+$D$17+D24</f>
        <v>0.19141196096019175</v>
      </c>
      <c r="F24" s="29">
        <f t="shared" ref="F24:F29" si="4">SUM(J24,K24,M24)</f>
        <v>46145.48680876712</v>
      </c>
      <c r="G24" s="31">
        <f>1/(1+E24)^(C24)</f>
        <v>0.86219961326349248</v>
      </c>
      <c r="H24" s="29">
        <f t="shared" ref="H24:H29" si="5">F24*G24</f>
        <v>39786.620880374605</v>
      </c>
      <c r="I24" s="148">
        <f>WORKDAY(C45-1, 1, 'Market Inputs '!$B$23:$B$36)</f>
        <v>45966</v>
      </c>
      <c r="J24" s="28">
        <f t="shared" ref="J24:J29" si="6">(I24-I23)/365*$D$10*(N23+L23)</f>
        <v>12190.356808767125</v>
      </c>
      <c r="K24" s="28">
        <f t="shared" ref="K24:K29" si="7">$D$12/7</f>
        <v>5375.1428571428569</v>
      </c>
      <c r="L24" s="28">
        <f t="shared" ref="L24:L29" si="8">L23-K24</f>
        <v>26875.71428571429</v>
      </c>
      <c r="M24" s="28">
        <f t="shared" ref="M24:M29" si="9">$N$22/7</f>
        <v>28579.987142857142</v>
      </c>
      <c r="N24" s="28">
        <f>N23-M24</f>
        <v>142899.93571428573</v>
      </c>
      <c r="O24" s="15"/>
      <c r="P24" s="55"/>
    </row>
    <row r="25" spans="2:16">
      <c r="B25" s="65"/>
      <c r="C25" s="28">
        <f t="shared" si="1"/>
        <v>1.3479452054794521</v>
      </c>
      <c r="D25" s="31">
        <v>4.1465472024973297E-2</v>
      </c>
      <c r="E25" s="31">
        <f t="shared" si="3"/>
        <v>0.19126547202497329</v>
      </c>
      <c r="F25" s="29">
        <f t="shared" si="4"/>
        <v>44169.5773260274</v>
      </c>
      <c r="G25" s="31">
        <f>1/(1+E25)^(C25)</f>
        <v>0.78985002043724251</v>
      </c>
      <c r="H25" s="29">
        <f t="shared" si="5"/>
        <v>34887.341553667102</v>
      </c>
      <c r="I25" s="148">
        <f>WORKDAY(C46-1, 1, 'Market Inputs '!$B$23:$B$36)</f>
        <v>46149</v>
      </c>
      <c r="J25" s="28">
        <f t="shared" si="6"/>
        <v>10214.447326027399</v>
      </c>
      <c r="K25" s="28">
        <f t="shared" si="7"/>
        <v>5375.1428571428569</v>
      </c>
      <c r="L25" s="28">
        <f t="shared" si="8"/>
        <v>21500.571428571435</v>
      </c>
      <c r="M25" s="28">
        <f t="shared" si="9"/>
        <v>28579.987142857142</v>
      </c>
      <c r="N25" s="28">
        <f t="shared" si="2"/>
        <v>114319.9485714286</v>
      </c>
      <c r="O25" s="15"/>
      <c r="P25" s="55"/>
    </row>
    <row r="26" spans="2:16">
      <c r="B26" s="65"/>
      <c r="C26" s="28">
        <f t="shared" si="1"/>
        <v>1.8465753424657534</v>
      </c>
      <c r="D26" s="31">
        <v>4.1335382230902475E-2</v>
      </c>
      <c r="E26" s="31">
        <f t="shared" si="3"/>
        <v>0.19113538223090246</v>
      </c>
      <c r="F26" s="29">
        <f t="shared" si="4"/>
        <v>42082.034539178087</v>
      </c>
      <c r="G26" s="31">
        <f t="shared" ref="G26:G29" si="10">1/(1+E26)^(C26)</f>
        <v>0.72398915189676805</v>
      </c>
      <c r="H26" s="29">
        <f t="shared" si="5"/>
        <v>30466.936496110044</v>
      </c>
      <c r="I26" s="148">
        <f>WORKDAY(C47-1, 1, 'Market Inputs '!$B$23:$B$36)</f>
        <v>46331</v>
      </c>
      <c r="J26" s="28">
        <f t="shared" si="6"/>
        <v>8126.9045391780837</v>
      </c>
      <c r="K26" s="28">
        <f t="shared" si="7"/>
        <v>5375.1428571428569</v>
      </c>
      <c r="L26" s="28">
        <f t="shared" si="8"/>
        <v>16125.428571428578</v>
      </c>
      <c r="M26" s="28">
        <f t="shared" si="9"/>
        <v>28579.987142857142</v>
      </c>
      <c r="N26" s="28">
        <f t="shared" si="2"/>
        <v>85739.961428571463</v>
      </c>
      <c r="O26" s="15"/>
      <c r="P26" s="55"/>
    </row>
    <row r="27" spans="2:16">
      <c r="B27" s="65"/>
      <c r="C27" s="28">
        <f t="shared" si="1"/>
        <v>2.3479452054794518</v>
      </c>
      <c r="D27" s="31">
        <v>4.1218677231506795E-2</v>
      </c>
      <c r="E27" s="31">
        <f t="shared" si="3"/>
        <v>0.19101867723150678</v>
      </c>
      <c r="F27" s="29">
        <f t="shared" si="4"/>
        <v>40083.798395616439</v>
      </c>
      <c r="G27" s="31">
        <f>1/(1+E27)^(C27)</f>
        <v>0.66335705569988024</v>
      </c>
      <c r="H27" s="29">
        <f t="shared" si="5"/>
        <v>26589.870484983705</v>
      </c>
      <c r="I27" s="148">
        <f>WORKDAY(C48-1, 1, 'Market Inputs '!$B$23:$B$36)</f>
        <v>46514</v>
      </c>
      <c r="J27" s="28">
        <f t="shared" si="6"/>
        <v>6128.6683956164416</v>
      </c>
      <c r="K27" s="28">
        <f t="shared" si="7"/>
        <v>5375.1428571428569</v>
      </c>
      <c r="L27" s="28">
        <f t="shared" si="8"/>
        <v>10750.285714285721</v>
      </c>
      <c r="M27" s="28">
        <f t="shared" si="9"/>
        <v>28579.987142857142</v>
      </c>
      <c r="N27" s="28">
        <f t="shared" si="2"/>
        <v>57159.974285714321</v>
      </c>
      <c r="O27" s="15"/>
      <c r="P27" s="55"/>
    </row>
    <row r="28" spans="2:16">
      <c r="B28" s="65"/>
      <c r="C28" s="28">
        <f t="shared" si="1"/>
        <v>2.8465753424657536</v>
      </c>
      <c r="D28" s="31">
        <v>4.11152090496903E-2</v>
      </c>
      <c r="E28" s="31">
        <f t="shared" si="3"/>
        <v>0.19091520904969028</v>
      </c>
      <c r="F28" s="29">
        <f t="shared" si="4"/>
        <v>38018.582269589038</v>
      </c>
      <c r="G28" s="31">
        <f>1/(1+E28)^(C28)</f>
        <v>0.60813425530627352</v>
      </c>
      <c r="H28" s="29">
        <f t="shared" si="5"/>
        <v>23120.402216316823</v>
      </c>
      <c r="I28" s="148">
        <f>WORKDAY(C49-1, 1, 'Market Inputs '!$B$23:$B$36)</f>
        <v>46696</v>
      </c>
      <c r="J28" s="28">
        <f t="shared" si="6"/>
        <v>4063.4522695890432</v>
      </c>
      <c r="K28" s="28">
        <f t="shared" si="7"/>
        <v>5375.1428571428569</v>
      </c>
      <c r="L28" s="28">
        <f t="shared" si="8"/>
        <v>5375.1428571428642</v>
      </c>
      <c r="M28" s="28">
        <f t="shared" si="9"/>
        <v>28579.987142857142</v>
      </c>
      <c r="N28" s="28">
        <f t="shared" si="2"/>
        <v>28579.987142857179</v>
      </c>
      <c r="O28" s="15"/>
      <c r="P28" s="55"/>
    </row>
    <row r="29" spans="2:16">
      <c r="B29" s="65"/>
      <c r="C29" s="28">
        <f t="shared" si="1"/>
        <v>3.3534246575342466</v>
      </c>
      <c r="D29" s="31">
        <v>4.1021589492727439E-2</v>
      </c>
      <c r="E29" s="31">
        <f t="shared" si="3"/>
        <v>0.19082158949272743</v>
      </c>
      <c r="F29" s="29">
        <f t="shared" si="4"/>
        <v>36020.346126027398</v>
      </c>
      <c r="G29" s="31">
        <f t="shared" si="10"/>
        <v>0.55674177126146063</v>
      </c>
      <c r="H29" s="29">
        <f t="shared" si="5"/>
        <v>20054.031303655385</v>
      </c>
      <c r="I29" s="148">
        <f>WORKDAY(C50-1, 1, 'Market Inputs '!$B$23:$B$36)</f>
        <v>46881</v>
      </c>
      <c r="J29" s="28">
        <f t="shared" si="6"/>
        <v>2065.2161260273997</v>
      </c>
      <c r="K29" s="28">
        <f t="shared" si="7"/>
        <v>5375.1428571428569</v>
      </c>
      <c r="L29" s="28">
        <f t="shared" si="8"/>
        <v>7.2759576141834259E-12</v>
      </c>
      <c r="M29" s="28">
        <f t="shared" si="9"/>
        <v>28579.987142857142</v>
      </c>
      <c r="N29" s="28">
        <f t="shared" si="2"/>
        <v>3.637978807091713E-11</v>
      </c>
      <c r="O29" s="15"/>
      <c r="P29" s="55"/>
    </row>
    <row r="30" spans="2:16">
      <c r="B30" s="65"/>
      <c r="C30" s="34"/>
      <c r="D30" s="34"/>
      <c r="E30" s="34"/>
      <c r="F30" s="39"/>
      <c r="G30" s="34"/>
      <c r="H30" s="39"/>
      <c r="I30" s="40"/>
      <c r="J30" s="34"/>
      <c r="K30" s="34"/>
      <c r="L30" s="34"/>
      <c r="M30" s="34"/>
      <c r="N30" s="38"/>
      <c r="O30" s="15"/>
      <c r="P30" s="55"/>
    </row>
    <row r="31" spans="2:16">
      <c r="B31" s="65"/>
      <c r="C31" s="34"/>
      <c r="D31" s="34"/>
      <c r="E31" s="34"/>
      <c r="F31" s="39"/>
      <c r="G31" s="34"/>
      <c r="H31" s="39"/>
      <c r="I31" s="40"/>
      <c r="J31" s="34"/>
      <c r="K31" s="34"/>
      <c r="L31" s="34"/>
      <c r="M31" s="34"/>
      <c r="N31" s="38"/>
      <c r="O31" s="15"/>
      <c r="P31" s="55"/>
    </row>
    <row r="32" spans="2:16">
      <c r="B32" s="65"/>
      <c r="C32" s="16" t="s">
        <v>64</v>
      </c>
      <c r="D32" s="43">
        <f>SUM(H23:H29)</f>
        <v>216188.45739316515</v>
      </c>
      <c r="E32" s="40"/>
      <c r="F32" s="34"/>
      <c r="H32" s="34"/>
      <c r="I32" s="38"/>
      <c r="J32" s="15"/>
      <c r="P32" s="55"/>
    </row>
    <row r="33" spans="2:16">
      <c r="B33" s="65"/>
      <c r="C33" s="16" t="s">
        <v>94</v>
      </c>
      <c r="D33" s="43">
        <f>D8+D12</f>
        <v>237685.91</v>
      </c>
      <c r="E33" s="40"/>
      <c r="F33" s="34"/>
      <c r="G33" s="34"/>
      <c r="H33" s="34"/>
      <c r="I33" s="38"/>
      <c r="J33" s="15"/>
      <c r="P33" s="55"/>
    </row>
    <row r="34" spans="2:16">
      <c r="B34" s="65"/>
      <c r="C34" s="16" t="s">
        <v>65</v>
      </c>
      <c r="D34" s="43">
        <f>D32-D33</f>
        <v>-21497.45260683485</v>
      </c>
      <c r="E34" s="38"/>
      <c r="F34" s="38"/>
      <c r="G34" s="38"/>
      <c r="H34" s="38"/>
      <c r="I34" s="38"/>
      <c r="P34" s="55"/>
    </row>
    <row r="35" spans="2:16">
      <c r="B35" s="65"/>
      <c r="C35" s="38"/>
      <c r="D35" s="70"/>
      <c r="E35" s="38"/>
      <c r="F35" s="38"/>
      <c r="G35" s="38"/>
      <c r="H35" s="38"/>
      <c r="I35" s="38"/>
      <c r="P35" s="55"/>
    </row>
    <row r="36" spans="2:16">
      <c r="B36" s="65"/>
      <c r="C36" s="38"/>
      <c r="D36" s="38"/>
      <c r="E36" s="38"/>
      <c r="F36" s="63"/>
      <c r="G36" s="38"/>
      <c r="H36" s="38"/>
      <c r="I36" s="38"/>
      <c r="J36" s="64"/>
      <c r="K36" s="38"/>
      <c r="L36" s="38"/>
      <c r="M36" s="38"/>
      <c r="N36" s="38"/>
      <c r="P36" s="55"/>
    </row>
    <row r="37" spans="2:16">
      <c r="B37" s="65"/>
      <c r="C37" s="16"/>
      <c r="D37" s="41" t="s">
        <v>67</v>
      </c>
      <c r="E37" s="41" t="s">
        <v>95</v>
      </c>
      <c r="F37" s="42" t="s">
        <v>96</v>
      </c>
      <c r="G37" s="56"/>
      <c r="H37" s="38"/>
      <c r="I37" s="38"/>
      <c r="J37" s="38"/>
      <c r="K37" s="38"/>
      <c r="L37" s="38"/>
      <c r="M37" s="38"/>
      <c r="N37" s="38"/>
      <c r="P37" s="55"/>
    </row>
    <row r="38" spans="2:16">
      <c r="B38" s="65"/>
      <c r="C38" s="16" t="s">
        <v>97</v>
      </c>
      <c r="D38" s="43">
        <f>D32</f>
        <v>216188.45739316515</v>
      </c>
      <c r="E38" s="44">
        <f>'Market Inputs '!H8</f>
        <v>25.798500000000001</v>
      </c>
      <c r="F38" s="45">
        <f>D38*E38</f>
        <v>5577337.9180575712</v>
      </c>
      <c r="G38" s="38"/>
      <c r="H38" s="38"/>
      <c r="I38" s="38"/>
      <c r="J38" s="38"/>
      <c r="K38" s="38"/>
      <c r="L38" s="38"/>
      <c r="M38" s="38"/>
      <c r="N38" s="38"/>
      <c r="P38" s="55"/>
    </row>
    <row r="39" spans="2:16">
      <c r="B39" s="65"/>
      <c r="C39" s="16" t="s">
        <v>98</v>
      </c>
      <c r="D39" s="43">
        <f>D33</f>
        <v>237685.91</v>
      </c>
      <c r="E39" s="44">
        <f>'Market Inputs '!H8</f>
        <v>25.798500000000001</v>
      </c>
      <c r="F39" s="45">
        <f>D39*E39</f>
        <v>6131939.9491349999</v>
      </c>
      <c r="G39" s="38"/>
      <c r="H39" s="38"/>
      <c r="I39" s="38"/>
      <c r="J39" s="38"/>
      <c r="K39" s="38"/>
      <c r="L39" s="38"/>
      <c r="M39" s="38"/>
      <c r="N39" s="38"/>
      <c r="P39" s="55"/>
    </row>
    <row r="40" spans="2:16">
      <c r="B40" s="65"/>
      <c r="C40" s="16"/>
      <c r="D40" s="16"/>
      <c r="E40" s="16"/>
      <c r="F40" s="45">
        <f>F38-F39</f>
        <v>-554602.03107742872</v>
      </c>
      <c r="G40" s="38"/>
      <c r="H40" s="38"/>
      <c r="I40" s="38"/>
      <c r="J40" s="38"/>
      <c r="K40" s="38"/>
      <c r="L40" s="38"/>
      <c r="M40" s="38"/>
      <c r="N40" s="38"/>
      <c r="P40" s="55"/>
    </row>
    <row r="41" spans="2:16">
      <c r="B41" s="65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P41" s="55"/>
    </row>
    <row r="42" spans="2:16">
      <c r="B42" s="65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P42" s="55"/>
    </row>
    <row r="43" spans="2:16">
      <c r="B43" s="65"/>
      <c r="C43" s="16" t="s">
        <v>99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P43" s="55"/>
    </row>
    <row r="44" spans="2:16">
      <c r="B44" s="65"/>
      <c r="C44" s="30">
        <f t="shared" ref="C44:C49" si="11">C45-(365/2)</f>
        <v>45784</v>
      </c>
      <c r="D44" s="38"/>
      <c r="E44" s="38"/>
      <c r="F44" s="38" t="s">
        <v>102</v>
      </c>
      <c r="G44" s="38"/>
      <c r="H44" s="38"/>
      <c r="I44" s="38"/>
      <c r="J44" s="38"/>
      <c r="K44" s="38"/>
      <c r="L44" s="38"/>
      <c r="M44" s="38"/>
      <c r="N44" s="38"/>
      <c r="P44" s="55"/>
    </row>
    <row r="45" spans="2:16">
      <c r="B45" s="65"/>
      <c r="C45" s="30">
        <f t="shared" si="11"/>
        <v>45966.5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P45" s="55"/>
    </row>
    <row r="46" spans="2:16">
      <c r="B46" s="65"/>
      <c r="C46" s="30">
        <f t="shared" si="11"/>
        <v>46149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P46" s="55"/>
    </row>
    <row r="47" spans="2:16">
      <c r="B47" s="65"/>
      <c r="C47" s="30">
        <f t="shared" si="11"/>
        <v>46331.5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P47" s="55"/>
    </row>
    <row r="48" spans="2:16">
      <c r="B48" s="65"/>
      <c r="C48" s="30">
        <f t="shared" si="11"/>
        <v>46514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P48" s="55"/>
    </row>
    <row r="49" spans="2:16">
      <c r="B49" s="65"/>
      <c r="C49" s="30">
        <f t="shared" si="11"/>
        <v>46696.5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P49" s="55"/>
    </row>
    <row r="50" spans="2:16">
      <c r="B50" s="65"/>
      <c r="C50" s="30">
        <f>D13</f>
        <v>46879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P50" s="55"/>
    </row>
    <row r="51" spans="2:16">
      <c r="B51" s="65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P51" s="55"/>
    </row>
    <row r="52" spans="2:16">
      <c r="B52" s="65"/>
      <c r="P52" s="55"/>
    </row>
    <row r="53" spans="2:16" ht="16.149999999999999" thickBot="1"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8"/>
    </row>
    <row r="54" spans="2:16" ht="16.149999999999999" thickTop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6ECA-604E-42F0-ACAC-B8ABFEFA278C}">
  <sheetPr codeName="Sheet5"/>
  <dimension ref="B3:P73"/>
  <sheetViews>
    <sheetView showGridLines="0" zoomScale="40" zoomScaleNormal="157" workbookViewId="0">
      <selection activeCell="N23" sqref="N23"/>
    </sheetView>
  </sheetViews>
  <sheetFormatPr defaultColWidth="8.75" defaultRowHeight="13.9"/>
  <cols>
    <col min="1" max="2" width="8.75" style="38"/>
    <col min="3" max="3" width="30.75" style="38" bestFit="1" customWidth="1"/>
    <col min="4" max="4" width="18.75" style="38" customWidth="1"/>
    <col min="5" max="5" width="9.25" style="38" bestFit="1" customWidth="1"/>
    <col min="6" max="6" width="15.25" style="38" bestFit="1" customWidth="1"/>
    <col min="7" max="7" width="9.75" style="38" bestFit="1" customWidth="1"/>
    <col min="8" max="8" width="15.25" style="38" customWidth="1"/>
    <col min="9" max="9" width="12.5" style="38" bestFit="1" customWidth="1"/>
    <col min="10" max="10" width="13.75" style="38" bestFit="1" customWidth="1"/>
    <col min="11" max="11" width="11.75" style="38" bestFit="1" customWidth="1"/>
    <col min="12" max="12" width="13.75" style="38" customWidth="1"/>
    <col min="13" max="13" width="13.75" style="38" bestFit="1" customWidth="1"/>
    <col min="14" max="14" width="14.875" style="38" bestFit="1" customWidth="1"/>
    <col min="15" max="16384" width="8.75" style="38"/>
  </cols>
  <sheetData>
    <row r="3" spans="2:16">
      <c r="F3" s="63"/>
    </row>
    <row r="4" spans="2:16" ht="14.45" thickBot="1">
      <c r="F4" s="63"/>
    </row>
    <row r="5" spans="2:16" ht="14.45" thickTop="1">
      <c r="B5" s="49"/>
      <c r="C5" s="50"/>
      <c r="D5" s="50"/>
      <c r="E5" s="50"/>
      <c r="F5" s="51"/>
      <c r="G5" s="50"/>
      <c r="H5" s="50"/>
      <c r="I5" s="50"/>
      <c r="J5" s="50"/>
      <c r="K5" s="50"/>
      <c r="L5" s="50"/>
      <c r="M5" s="50"/>
      <c r="N5" s="50"/>
      <c r="O5" s="50"/>
      <c r="P5" s="81"/>
    </row>
    <row r="6" spans="2:16">
      <c r="B6" s="62"/>
      <c r="C6" s="16" t="s">
        <v>55</v>
      </c>
      <c r="D6" s="74" t="s">
        <v>103</v>
      </c>
      <c r="P6" s="82"/>
    </row>
    <row r="7" spans="2:16">
      <c r="B7" s="62"/>
      <c r="C7" s="16" t="s">
        <v>70</v>
      </c>
      <c r="D7" s="75">
        <v>45657</v>
      </c>
      <c r="H7" s="54"/>
      <c r="P7" s="82"/>
    </row>
    <row r="8" spans="2:16">
      <c r="B8" s="62"/>
      <c r="C8" s="16" t="s">
        <v>104</v>
      </c>
      <c r="D8" s="76">
        <v>18515000</v>
      </c>
      <c r="H8" s="54"/>
      <c r="P8" s="82"/>
    </row>
    <row r="9" spans="2:16">
      <c r="B9" s="62"/>
      <c r="C9" s="16" t="s">
        <v>71</v>
      </c>
      <c r="D9" s="77">
        <v>18515000</v>
      </c>
      <c r="I9" s="32"/>
      <c r="P9" s="82"/>
    </row>
    <row r="10" spans="2:16">
      <c r="B10" s="62"/>
      <c r="C10" s="16" t="s">
        <v>57</v>
      </c>
      <c r="D10" s="74" t="s">
        <v>66</v>
      </c>
      <c r="P10" s="82"/>
    </row>
    <row r="11" spans="2:16">
      <c r="B11" s="62"/>
      <c r="C11" s="16" t="s">
        <v>72</v>
      </c>
      <c r="D11" s="78">
        <v>0.1</v>
      </c>
      <c r="G11" s="56"/>
      <c r="H11" s="57"/>
      <c r="I11" s="33"/>
      <c r="J11" s="54"/>
      <c r="P11" s="82"/>
    </row>
    <row r="12" spans="2:16">
      <c r="B12" s="62"/>
      <c r="C12" s="16" t="s">
        <v>73</v>
      </c>
      <c r="D12" s="79" t="s">
        <v>74</v>
      </c>
      <c r="G12" s="56"/>
      <c r="H12" s="58"/>
      <c r="I12" s="34"/>
      <c r="J12" s="59"/>
      <c r="P12" s="82"/>
    </row>
    <row r="13" spans="2:16">
      <c r="B13" s="62"/>
      <c r="C13" s="16" t="str">
        <f>[1]GZH!A13</f>
        <v>Interest Accrued to 31 December 2024</v>
      </c>
      <c r="D13" s="80">
        <v>2696405</v>
      </c>
      <c r="E13" s="38" t="s">
        <v>76</v>
      </c>
      <c r="F13" s="35"/>
      <c r="G13" s="60"/>
      <c r="H13" s="59"/>
      <c r="I13" s="34"/>
      <c r="J13" s="59"/>
      <c r="P13" s="82"/>
    </row>
    <row r="14" spans="2:16">
      <c r="B14" s="62"/>
      <c r="C14" s="16" t="s">
        <v>59</v>
      </c>
      <c r="D14" s="75">
        <f>D15+(10*365)</f>
        <v>48483</v>
      </c>
      <c r="F14" s="34"/>
      <c r="G14" s="61"/>
      <c r="H14" s="59"/>
      <c r="I14" s="34"/>
      <c r="J14" s="59"/>
      <c r="P14" s="82"/>
    </row>
    <row r="15" spans="2:16">
      <c r="B15" s="62"/>
      <c r="C15" s="16" t="s">
        <v>58</v>
      </c>
      <c r="D15" s="75">
        <v>44833</v>
      </c>
      <c r="E15" s="58"/>
      <c r="F15" s="59"/>
      <c r="G15" s="59"/>
      <c r="H15" s="59"/>
      <c r="I15" s="59"/>
      <c r="J15" s="59"/>
      <c r="P15" s="82"/>
    </row>
    <row r="16" spans="2:16">
      <c r="B16" s="62"/>
      <c r="C16" s="16" t="s">
        <v>77</v>
      </c>
      <c r="D16" s="75">
        <f>C54</f>
        <v>45745.5</v>
      </c>
      <c r="E16" s="58"/>
      <c r="F16" s="40"/>
      <c r="G16" s="40"/>
      <c r="H16" s="40"/>
      <c r="I16" s="40"/>
      <c r="J16" s="34"/>
      <c r="P16" s="82"/>
    </row>
    <row r="17" spans="2:16">
      <c r="B17" s="62"/>
      <c r="C17" s="16" t="s">
        <v>70</v>
      </c>
      <c r="D17" s="75">
        <f>D7</f>
        <v>45657</v>
      </c>
      <c r="H17" s="59"/>
      <c r="I17" s="34"/>
      <c r="J17" s="59"/>
      <c r="P17" s="82"/>
    </row>
    <row r="18" spans="2:16">
      <c r="B18" s="62"/>
      <c r="C18" s="16" t="s">
        <v>78</v>
      </c>
      <c r="D18" s="78">
        <f>'Market Inputs '!H5</f>
        <v>2.9600000000000001E-2</v>
      </c>
      <c r="E18" s="37" t="s">
        <v>79</v>
      </c>
      <c r="F18" s="40"/>
      <c r="G18" s="40"/>
      <c r="H18" s="40"/>
      <c r="I18" s="40"/>
      <c r="J18" s="36"/>
      <c r="P18" s="82"/>
    </row>
    <row r="19" spans="2:16">
      <c r="B19" s="62"/>
      <c r="C19" s="16" t="s">
        <v>80</v>
      </c>
      <c r="D19" s="78">
        <f>'Market Inputs '!H9</f>
        <v>0.1202</v>
      </c>
      <c r="E19" s="37" t="s">
        <v>81</v>
      </c>
      <c r="F19" s="40"/>
      <c r="G19" s="40"/>
      <c r="H19" s="40"/>
      <c r="I19" s="40"/>
      <c r="J19" s="36"/>
      <c r="P19" s="82"/>
    </row>
    <row r="20" spans="2:16">
      <c r="B20" s="62"/>
      <c r="D20" s="40"/>
      <c r="E20" s="40"/>
      <c r="F20" s="40"/>
      <c r="G20" s="40"/>
      <c r="H20" s="40"/>
      <c r="I20" s="40"/>
      <c r="J20" s="36"/>
      <c r="P20" s="82"/>
    </row>
    <row r="21" spans="2:16">
      <c r="B21" s="62"/>
      <c r="G21" s="54"/>
      <c r="P21" s="82"/>
    </row>
    <row r="22" spans="2:16">
      <c r="B22" s="62"/>
      <c r="C22" s="96" t="s">
        <v>83</v>
      </c>
      <c r="D22" s="96" t="s">
        <v>84</v>
      </c>
      <c r="E22" s="96" t="s">
        <v>85</v>
      </c>
      <c r="F22" s="96" t="s">
        <v>86</v>
      </c>
      <c r="G22" s="96" t="s">
        <v>87</v>
      </c>
      <c r="H22" s="96" t="s">
        <v>88</v>
      </c>
      <c r="I22" s="100" t="s">
        <v>89</v>
      </c>
      <c r="J22" s="96" t="s">
        <v>90</v>
      </c>
      <c r="K22" s="96" t="s">
        <v>91</v>
      </c>
      <c r="L22" s="96" t="s">
        <v>105</v>
      </c>
      <c r="M22" s="96" t="s">
        <v>71</v>
      </c>
      <c r="N22" s="97" t="s">
        <v>93</v>
      </c>
      <c r="P22" s="82"/>
    </row>
    <row r="23" spans="2:16">
      <c r="B23" s="62"/>
      <c r="C23" s="28">
        <f t="shared" ref="C23:C39" si="0">(I23-$D$17)/365</f>
        <v>0</v>
      </c>
      <c r="D23" s="28"/>
      <c r="E23" s="28"/>
      <c r="F23" s="29"/>
      <c r="G23" s="28"/>
      <c r="H23" s="29"/>
      <c r="I23" s="30">
        <f>D17</f>
        <v>45657</v>
      </c>
      <c r="J23" s="28"/>
      <c r="K23" s="28"/>
      <c r="L23" s="28">
        <f>D13</f>
        <v>2696405</v>
      </c>
      <c r="M23" s="28"/>
      <c r="N23" s="28">
        <f>D9</f>
        <v>18515000</v>
      </c>
      <c r="P23" s="82"/>
    </row>
    <row r="24" spans="2:16">
      <c r="B24" s="62"/>
      <c r="C24" s="28">
        <f>(I24-$D$17)/365</f>
        <v>0.24657534246575341</v>
      </c>
      <c r="D24" s="31">
        <v>4.1810412356511985E-2</v>
      </c>
      <c r="E24" s="31">
        <f>$D$19+$D$18+D24</f>
        <v>0.19161041235651197</v>
      </c>
      <c r="F24" s="29">
        <f>SUM(J24,K24,M24)</f>
        <v>1848733.7577054794</v>
      </c>
      <c r="G24" s="28">
        <f>(1/(1+$E24))^(C24)</f>
        <v>0.95769487094108319</v>
      </c>
      <c r="H24" s="29">
        <f>F24*G24</f>
        <v>1770522.8374901728</v>
      </c>
      <c r="I24" s="30">
        <f>WORKDAY(C54-1, 1, 'Market Inputs '!$B$23:$B$36)</f>
        <v>45747</v>
      </c>
      <c r="J24" s="28">
        <f>(I24-I23)/365*$D$11*(N23+L23)</f>
        <v>523020.94520547945</v>
      </c>
      <c r="K24" s="28">
        <f>$D$13/16</f>
        <v>168525.3125</v>
      </c>
      <c r="L24" s="28">
        <f>L23-K24</f>
        <v>2527879.6875</v>
      </c>
      <c r="M24" s="28">
        <f>$N$23/16</f>
        <v>1157187.5</v>
      </c>
      <c r="N24" s="28">
        <f>N23-M24</f>
        <v>17357812.5</v>
      </c>
      <c r="P24" s="82"/>
    </row>
    <row r="25" spans="2:16">
      <c r="B25" s="62"/>
      <c r="C25" s="28">
        <f t="shared" si="0"/>
        <v>0.74520547945205484</v>
      </c>
      <c r="D25" s="31">
        <v>4.164364372601477E-2</v>
      </c>
      <c r="E25" s="31">
        <f t="shared" ref="E25:E39" si="1">$D$19+$D$18+D25</f>
        <v>0.19144364372601474</v>
      </c>
      <c r="F25" s="29">
        <f t="shared" ref="F25:F39" si="2">SUM(J25,K25,M25)</f>
        <v>2317273.3544520549</v>
      </c>
      <c r="G25" s="28">
        <f t="shared" ref="G25:G38" si="3">(1/(1+$E25))^(C25)</f>
        <v>0.87762625578986797</v>
      </c>
      <c r="H25" s="29">
        <f t="shared" ref="H25:H39" si="4">F25*G25</f>
        <v>2033699.9377093846</v>
      </c>
      <c r="I25" s="30">
        <f>WORKDAY(C55-1, 1, 'Market Inputs '!$B$23:$B$36)</f>
        <v>45929</v>
      </c>
      <c r="J25" s="28">
        <f t="shared" ref="J25:J39" si="5">(I25-I24)/365*$D$11*(N24+L24)</f>
        <v>991560.54195205483</v>
      </c>
      <c r="K25" s="28">
        <f t="shared" ref="K25:K39" si="6">$D$13/16</f>
        <v>168525.3125</v>
      </c>
      <c r="L25" s="28">
        <f>L24-K25</f>
        <v>2359354.375</v>
      </c>
      <c r="M25" s="28">
        <f t="shared" ref="M25:M39" si="7">$N$23/16</f>
        <v>1157187.5</v>
      </c>
      <c r="N25" s="28">
        <f>N24-M25</f>
        <v>16200625</v>
      </c>
      <c r="P25" s="82"/>
    </row>
    <row r="26" spans="2:16">
      <c r="B26" s="62"/>
      <c r="C26" s="28">
        <f t="shared" si="0"/>
        <v>1.2438356164383562</v>
      </c>
      <c r="D26" s="31">
        <v>4.149454125286723E-2</v>
      </c>
      <c r="E26" s="31">
        <f t="shared" si="1"/>
        <v>0.19129454125286721</v>
      </c>
      <c r="F26" s="29">
        <f t="shared" si="2"/>
        <v>2251169.3183219177</v>
      </c>
      <c r="G26" s="28">
        <f>(1/(1+$E26))^(C26)</f>
        <v>0.80434926907647031</v>
      </c>
      <c r="H26" s="29">
        <f>F26*G26</f>
        <v>1810726.3957596105</v>
      </c>
      <c r="I26" s="30">
        <f>WORKDAY(C56-1, 1, 'Market Inputs '!$B$23:$B$36)</f>
        <v>46111</v>
      </c>
      <c r="J26" s="28">
        <f t="shared" si="5"/>
        <v>925456.50582191779</v>
      </c>
      <c r="K26" s="28">
        <f t="shared" si="6"/>
        <v>168525.3125</v>
      </c>
      <c r="L26" s="28">
        <f>L25-K26</f>
        <v>2190829.0625</v>
      </c>
      <c r="M26" s="28">
        <f t="shared" si="7"/>
        <v>1157187.5</v>
      </c>
      <c r="N26" s="28">
        <f>N25-M26</f>
        <v>15043437.5</v>
      </c>
      <c r="P26" s="82"/>
    </row>
    <row r="27" spans="2:16">
      <c r="B27" s="62"/>
      <c r="C27" s="28">
        <f t="shared" si="0"/>
        <v>1.7424657534246575</v>
      </c>
      <c r="D27" s="31">
        <v>4.1361338738071921E-2</v>
      </c>
      <c r="E27" s="31">
        <f t="shared" si="1"/>
        <v>0.1911613387380719</v>
      </c>
      <c r="F27" s="29">
        <f t="shared" si="2"/>
        <v>2185065.2821917809</v>
      </c>
      <c r="G27" s="28">
        <f t="shared" si="3"/>
        <v>0.73726539531106361</v>
      </c>
      <c r="H27" s="29">
        <f t="shared" si="4"/>
        <v>1610973.019055604</v>
      </c>
      <c r="I27" s="30">
        <f>WORKDAY(C57-1, 1, 'Market Inputs '!$B$23:$B$36)</f>
        <v>46293</v>
      </c>
      <c r="J27" s="28">
        <f t="shared" si="5"/>
        <v>859352.46969178086</v>
      </c>
      <c r="K27" s="28">
        <f t="shared" si="6"/>
        <v>168525.3125</v>
      </c>
      <c r="L27" s="28">
        <f t="shared" ref="L27:L39" si="8">L26-K27</f>
        <v>2022303.75</v>
      </c>
      <c r="M27" s="28">
        <f t="shared" si="7"/>
        <v>1157187.5</v>
      </c>
      <c r="N27" s="28">
        <f t="shared" ref="N27:N39" si="9">N26-M27</f>
        <v>13886250</v>
      </c>
      <c r="P27" s="82"/>
    </row>
    <row r="28" spans="2:16">
      <c r="B28" s="62"/>
      <c r="C28" s="28">
        <f t="shared" si="0"/>
        <v>2.2410958904109588</v>
      </c>
      <c r="D28" s="31">
        <v>4.124243720415003E-2</v>
      </c>
      <c r="E28" s="31">
        <f>$D$19+$D$18+D28</f>
        <v>0.19104243720415001</v>
      </c>
      <c r="F28" s="29">
        <f t="shared" si="2"/>
        <v>2118961.2460616436</v>
      </c>
      <c r="G28" s="28">
        <f t="shared" si="3"/>
        <v>0.67583360676436921</v>
      </c>
      <c r="H28" s="29">
        <f t="shared" si="4"/>
        <v>1432065.2215197627</v>
      </c>
      <c r="I28" s="30">
        <f>WORKDAY(C58-1, 1, 'Market Inputs '!$B$23:$B$36)</f>
        <v>46475</v>
      </c>
      <c r="J28" s="28">
        <f t="shared" si="5"/>
        <v>793248.43356164382</v>
      </c>
      <c r="K28" s="28">
        <f t="shared" si="6"/>
        <v>168525.3125</v>
      </c>
      <c r="L28" s="28">
        <f t="shared" si="8"/>
        <v>1853778.4375</v>
      </c>
      <c r="M28" s="28">
        <f t="shared" si="7"/>
        <v>1157187.5</v>
      </c>
      <c r="N28" s="28">
        <f t="shared" si="9"/>
        <v>12729062.5</v>
      </c>
      <c r="P28" s="82"/>
    </row>
    <row r="29" spans="2:16">
      <c r="B29" s="62"/>
      <c r="C29" s="28">
        <f t="shared" si="0"/>
        <v>2.7424657534246575</v>
      </c>
      <c r="D29" s="31">
        <v>4.1135839798397598E-2</v>
      </c>
      <c r="E29" s="31">
        <f t="shared" si="1"/>
        <v>0.19093583979839759</v>
      </c>
      <c r="F29" s="29">
        <f t="shared" si="2"/>
        <v>2056852.5088184932</v>
      </c>
      <c r="G29" s="28">
        <f t="shared" si="3"/>
        <v>0.61926816956994457</v>
      </c>
      <c r="H29" s="29">
        <f t="shared" si="4"/>
        <v>1273743.2882113766</v>
      </c>
      <c r="I29" s="30">
        <f>WORKDAY(C59-1, 1, 'Market Inputs '!$B$23:$B$36)</f>
        <v>46658</v>
      </c>
      <c r="J29" s="28">
        <f t="shared" si="5"/>
        <v>731139.69631849322</v>
      </c>
      <c r="K29" s="28">
        <f t="shared" si="6"/>
        <v>168525.3125</v>
      </c>
      <c r="L29" s="28">
        <f t="shared" si="8"/>
        <v>1685253.125</v>
      </c>
      <c r="M29" s="28">
        <f t="shared" si="7"/>
        <v>1157187.5</v>
      </c>
      <c r="N29" s="28">
        <f t="shared" si="9"/>
        <v>11571875</v>
      </c>
      <c r="P29" s="82"/>
    </row>
    <row r="30" spans="2:16">
      <c r="B30" s="62"/>
      <c r="C30" s="28">
        <f t="shared" si="0"/>
        <v>3.2410958904109588</v>
      </c>
      <c r="D30" s="31">
        <v>4.1041396408862445E-2</v>
      </c>
      <c r="E30" s="31">
        <f t="shared" si="1"/>
        <v>0.19084139640886244</v>
      </c>
      <c r="F30" s="29">
        <f t="shared" si="2"/>
        <v>1986753.17380137</v>
      </c>
      <c r="G30" s="28">
        <f>(1/(1+$E30))^(C30)</f>
        <v>0.5677408725067371</v>
      </c>
      <c r="H30" s="29">
        <f t="shared" si="4"/>
        <v>1127960.9803495188</v>
      </c>
      <c r="I30" s="30">
        <f>WORKDAY(C60-1, 1, 'Market Inputs '!$B$23:$B$36)</f>
        <v>46840</v>
      </c>
      <c r="J30" s="28">
        <f t="shared" si="5"/>
        <v>661040.36130136985</v>
      </c>
      <c r="K30" s="28">
        <f t="shared" si="6"/>
        <v>168525.3125</v>
      </c>
      <c r="L30" s="28">
        <f t="shared" si="8"/>
        <v>1516727.8125</v>
      </c>
      <c r="M30" s="28">
        <f t="shared" si="7"/>
        <v>1157187.5</v>
      </c>
      <c r="N30" s="28">
        <f t="shared" si="9"/>
        <v>10414687.5</v>
      </c>
      <c r="P30" s="82"/>
    </row>
    <row r="31" spans="2:16">
      <c r="B31" s="62"/>
      <c r="C31" s="28">
        <f t="shared" si="0"/>
        <v>3.7424657534246575</v>
      </c>
      <c r="D31" s="31">
        <v>4.0956871210803325E-2</v>
      </c>
      <c r="E31" s="31">
        <f t="shared" si="1"/>
        <v>0.19075687121080331</v>
      </c>
      <c r="F31" s="29">
        <f t="shared" si="2"/>
        <v>1923918.0185787673</v>
      </c>
      <c r="G31" s="28">
        <f t="shared" si="3"/>
        <v>0.52027703777086654</v>
      </c>
      <c r="H31" s="29">
        <f t="shared" si="4"/>
        <v>1000970.367620156</v>
      </c>
      <c r="I31" s="30">
        <f>WORKDAY(C61-1, 1, 'Market Inputs '!$B$23:$B$36)</f>
        <v>47023</v>
      </c>
      <c r="J31" s="28">
        <f t="shared" si="5"/>
        <v>598205.20607876719</v>
      </c>
      <c r="K31" s="28">
        <f t="shared" si="6"/>
        <v>168525.3125</v>
      </c>
      <c r="L31" s="28">
        <f t="shared" si="8"/>
        <v>1348202.5</v>
      </c>
      <c r="M31" s="28">
        <f t="shared" si="7"/>
        <v>1157187.5</v>
      </c>
      <c r="N31" s="28">
        <f t="shared" si="9"/>
        <v>9257500</v>
      </c>
      <c r="P31" s="82"/>
    </row>
    <row r="32" spans="2:16">
      <c r="B32" s="62"/>
      <c r="C32" s="28">
        <f t="shared" si="0"/>
        <v>4.2410958904109588</v>
      </c>
      <c r="D32" s="31">
        <v>4.0882112861185455E-2</v>
      </c>
      <c r="E32" s="31">
        <f t="shared" si="1"/>
        <v>0.19068211286118544</v>
      </c>
      <c r="F32" s="29">
        <f>SUM(J32,K32,M32)</f>
        <v>1854545.1015410959</v>
      </c>
      <c r="G32" s="28">
        <f t="shared" si="3"/>
        <v>0.47702662454910566</v>
      </c>
      <c r="H32" s="29">
        <f t="shared" si="4"/>
        <v>884667.38986222737</v>
      </c>
      <c r="I32" s="30">
        <f>WORKDAY(C62-1, 1, 'Market Inputs '!$B$23:$B$36)</f>
        <v>47205</v>
      </c>
      <c r="J32" s="28">
        <f t="shared" si="5"/>
        <v>528832.28904109588</v>
      </c>
      <c r="K32" s="28">
        <f t="shared" si="6"/>
        <v>168525.3125</v>
      </c>
      <c r="L32" s="28">
        <f t="shared" si="8"/>
        <v>1179677.1875</v>
      </c>
      <c r="M32" s="28">
        <f t="shared" si="7"/>
        <v>1157187.5</v>
      </c>
      <c r="N32" s="28">
        <f t="shared" si="9"/>
        <v>8100312.5</v>
      </c>
      <c r="P32" s="82"/>
    </row>
    <row r="33" spans="2:16">
      <c r="B33" s="62"/>
      <c r="C33" s="28">
        <f t="shared" si="0"/>
        <v>4.7424657534246579</v>
      </c>
      <c r="D33" s="31">
        <v>4.0815321111567153E-2</v>
      </c>
      <c r="E33" s="31">
        <f t="shared" si="1"/>
        <v>0.19061532111156715</v>
      </c>
      <c r="F33" s="29">
        <f t="shared" si="2"/>
        <v>1790983.5283390412</v>
      </c>
      <c r="G33" s="28">
        <f t="shared" si="3"/>
        <v>0.43717610191408973</v>
      </c>
      <c r="H33" s="29">
        <f t="shared" si="4"/>
        <v>782975.19751160464</v>
      </c>
      <c r="I33" s="30">
        <f>WORKDAY(C63-1, 1, 'Market Inputs '!$B$23:$B$36)</f>
        <v>47388</v>
      </c>
      <c r="J33" s="28">
        <f t="shared" si="5"/>
        <v>465270.71583904116</v>
      </c>
      <c r="K33" s="28">
        <f t="shared" si="6"/>
        <v>168525.3125</v>
      </c>
      <c r="L33" s="28">
        <f t="shared" si="8"/>
        <v>1011151.875</v>
      </c>
      <c r="M33" s="28">
        <f t="shared" si="7"/>
        <v>1157187.5</v>
      </c>
      <c r="N33" s="28">
        <f t="shared" si="9"/>
        <v>6943125</v>
      </c>
      <c r="P33" s="82"/>
    </row>
    <row r="34" spans="2:16">
      <c r="B34" s="62"/>
      <c r="C34" s="28">
        <f t="shared" si="0"/>
        <v>5.2410958904109588</v>
      </c>
      <c r="D34" s="31">
        <v>4.075634818376777E-2</v>
      </c>
      <c r="E34" s="31">
        <f t="shared" si="1"/>
        <v>0.19055634818376777</v>
      </c>
      <c r="F34" s="29">
        <f t="shared" si="2"/>
        <v>1722337.0292808218</v>
      </c>
      <c r="G34" s="28">
        <f t="shared" si="3"/>
        <v>0.40085492309953491</v>
      </c>
      <c r="H34" s="29">
        <f t="shared" si="4"/>
        <v>690407.27742384525</v>
      </c>
      <c r="I34" s="30">
        <f>WORKDAY(C64-1, 1, 'Market Inputs '!$B$23:$B$36)</f>
        <v>47570</v>
      </c>
      <c r="J34" s="28">
        <f t="shared" si="5"/>
        <v>396624.21678082191</v>
      </c>
      <c r="K34" s="28">
        <f t="shared" si="6"/>
        <v>168525.3125</v>
      </c>
      <c r="L34" s="28">
        <f t="shared" si="8"/>
        <v>842626.5625</v>
      </c>
      <c r="M34" s="28">
        <f t="shared" si="7"/>
        <v>1157187.5</v>
      </c>
      <c r="N34" s="28">
        <f t="shared" si="9"/>
        <v>5785937.5</v>
      </c>
      <c r="P34" s="82"/>
    </row>
    <row r="35" spans="2:16">
      <c r="B35" s="62"/>
      <c r="C35" s="28">
        <f t="shared" si="0"/>
        <v>5.7424657534246579</v>
      </c>
      <c r="D35" s="31">
        <v>4.0703747554829653E-2</v>
      </c>
      <c r="E35" s="31">
        <f t="shared" si="1"/>
        <v>0.19050374755482963</v>
      </c>
      <c r="F35" s="29">
        <f t="shared" si="2"/>
        <v>1658049.038099315</v>
      </c>
      <c r="G35" s="28">
        <f t="shared" si="3"/>
        <v>0.36738266896760935</v>
      </c>
      <c r="H35" s="29">
        <f t="shared" si="4"/>
        <v>609138.48089610378</v>
      </c>
      <c r="I35" s="30">
        <f>WORKDAY(C65-1, 1, 'Market Inputs '!$B$23:$B$36)</f>
        <v>47753</v>
      </c>
      <c r="J35" s="28">
        <f t="shared" si="5"/>
        <v>332336.22559931508</v>
      </c>
      <c r="K35" s="28">
        <f t="shared" si="6"/>
        <v>168525.3125</v>
      </c>
      <c r="L35" s="28">
        <f t="shared" si="8"/>
        <v>674101.25</v>
      </c>
      <c r="M35" s="28">
        <f t="shared" si="7"/>
        <v>1157187.5</v>
      </c>
      <c r="N35" s="28">
        <f t="shared" si="9"/>
        <v>4628750</v>
      </c>
      <c r="P35" s="82"/>
    </row>
    <row r="36" spans="2:16">
      <c r="B36" s="62"/>
      <c r="C36" s="28">
        <f t="shared" si="0"/>
        <v>6.2410958904109588</v>
      </c>
      <c r="D36" s="31">
        <v>4.0657378564699878E-2</v>
      </c>
      <c r="E36" s="31">
        <f t="shared" si="1"/>
        <v>0.19045737856469985</v>
      </c>
      <c r="F36" s="29">
        <f t="shared" si="2"/>
        <v>1590128.9570205479</v>
      </c>
      <c r="G36" s="28">
        <f t="shared" si="3"/>
        <v>0.33687020021969782</v>
      </c>
      <c r="H36" s="29">
        <f t="shared" si="4"/>
        <v>535667.06012665131</v>
      </c>
      <c r="I36" s="30">
        <f>WORKDAY(C66-1, 1, 'Market Inputs '!$B$23:$B$36)</f>
        <v>47935</v>
      </c>
      <c r="J36" s="28">
        <f t="shared" si="5"/>
        <v>264416.14452054794</v>
      </c>
      <c r="K36" s="28">
        <f t="shared" si="6"/>
        <v>168525.3125</v>
      </c>
      <c r="L36" s="28">
        <f t="shared" si="8"/>
        <v>505575.9375</v>
      </c>
      <c r="M36" s="28">
        <f t="shared" si="7"/>
        <v>1157187.5</v>
      </c>
      <c r="N36" s="28">
        <f t="shared" si="9"/>
        <v>3471562.5</v>
      </c>
      <c r="P36" s="82"/>
    </row>
    <row r="37" spans="2:16">
      <c r="B37" s="62"/>
      <c r="C37" s="28">
        <f t="shared" si="0"/>
        <v>6.7479452054794518</v>
      </c>
      <c r="D37" s="31">
        <v>4.0615657227612914E-2</v>
      </c>
      <c r="E37" s="31">
        <f t="shared" si="1"/>
        <v>0.19041565722761289</v>
      </c>
      <c r="F37" s="29">
        <f t="shared" si="2"/>
        <v>1527293.8017979453</v>
      </c>
      <c r="G37" s="28">
        <f t="shared" si="3"/>
        <v>0.3084535620767116</v>
      </c>
      <c r="H37" s="29">
        <f t="shared" si="4"/>
        <v>471099.2135022594</v>
      </c>
      <c r="I37" s="30">
        <f>WORKDAY(C67-1, 1, 'Market Inputs '!$B$23:$B$36)</f>
        <v>48120</v>
      </c>
      <c r="J37" s="28">
        <f t="shared" si="5"/>
        <v>201580.98929794523</v>
      </c>
      <c r="K37" s="28">
        <f t="shared" si="6"/>
        <v>168525.3125</v>
      </c>
      <c r="L37" s="28">
        <f t="shared" si="8"/>
        <v>337050.625</v>
      </c>
      <c r="M37" s="28">
        <f t="shared" si="7"/>
        <v>1157187.5</v>
      </c>
      <c r="N37" s="28">
        <f t="shared" si="9"/>
        <v>2314375</v>
      </c>
      <c r="P37" s="82"/>
    </row>
    <row r="38" spans="2:16">
      <c r="B38" s="62"/>
      <c r="C38" s="28">
        <f t="shared" si="0"/>
        <v>7.2465753424657535</v>
      </c>
      <c r="D38" s="31">
        <v>4.0579349350642245E-2</v>
      </c>
      <c r="E38" s="31">
        <f t="shared" si="1"/>
        <v>0.19037934935064224</v>
      </c>
      <c r="F38" s="29">
        <f t="shared" si="2"/>
        <v>1457920.8847602741</v>
      </c>
      <c r="G38" s="28">
        <f t="shared" si="3"/>
        <v>0.28283956553983125</v>
      </c>
      <c r="H38" s="29">
        <f t="shared" si="4"/>
        <v>412357.70963704231</v>
      </c>
      <c r="I38" s="30">
        <f>WORKDAY(C68-1, 1, 'Market Inputs '!$B$23:$B$36)</f>
        <v>48302</v>
      </c>
      <c r="J38" s="28">
        <f t="shared" si="5"/>
        <v>132208.07226027397</v>
      </c>
      <c r="K38" s="28">
        <f t="shared" si="6"/>
        <v>168525.3125</v>
      </c>
      <c r="L38" s="28">
        <f t="shared" si="8"/>
        <v>168525.3125</v>
      </c>
      <c r="M38" s="28">
        <f t="shared" si="7"/>
        <v>1157187.5</v>
      </c>
      <c r="N38" s="28">
        <f t="shared" si="9"/>
        <v>1157187.5</v>
      </c>
      <c r="P38" s="82"/>
    </row>
    <row r="39" spans="2:16">
      <c r="B39" s="62"/>
      <c r="C39" s="28">
        <f t="shared" si="0"/>
        <v>7.7452054794520544</v>
      </c>
      <c r="D39" s="31">
        <v>4.0547214597150154E-2</v>
      </c>
      <c r="E39" s="31">
        <f t="shared" si="1"/>
        <v>0.19034721459715015</v>
      </c>
      <c r="F39" s="29">
        <f t="shared" si="2"/>
        <v>1391816.848630137</v>
      </c>
      <c r="G39" s="28">
        <f>(1/(1+$E39))^(C39)</f>
        <v>0.25935340469221807</v>
      </c>
      <c r="H39" s="29">
        <f t="shared" si="4"/>
        <v>360972.43840021954</v>
      </c>
      <c r="I39" s="30">
        <f>WORKDAY(C69-1, 1, 'Market Inputs '!$B$23:$B$36)</f>
        <v>48484</v>
      </c>
      <c r="J39" s="28">
        <f t="shared" si="5"/>
        <v>66104.036130136985</v>
      </c>
      <c r="K39" s="28">
        <f t="shared" si="6"/>
        <v>168525.3125</v>
      </c>
      <c r="L39" s="28">
        <f t="shared" si="8"/>
        <v>0</v>
      </c>
      <c r="M39" s="28">
        <f t="shared" si="7"/>
        <v>1157187.5</v>
      </c>
      <c r="N39" s="28">
        <f t="shared" si="9"/>
        <v>0</v>
      </c>
      <c r="P39" s="82"/>
    </row>
    <row r="40" spans="2:16">
      <c r="B40" s="62"/>
      <c r="C40" s="34"/>
      <c r="D40" s="34"/>
      <c r="E40" s="34"/>
      <c r="F40" s="39"/>
      <c r="G40" s="34"/>
      <c r="H40" s="39"/>
      <c r="I40" s="40"/>
      <c r="J40" s="34"/>
      <c r="K40" s="34"/>
      <c r="L40" s="34"/>
      <c r="M40" s="34"/>
      <c r="N40" s="34"/>
      <c r="P40" s="82"/>
    </row>
    <row r="41" spans="2:16">
      <c r="B41" s="62"/>
      <c r="C41" s="34"/>
      <c r="D41" s="34"/>
      <c r="E41" s="39"/>
      <c r="F41" s="34"/>
      <c r="G41" s="39"/>
      <c r="H41" s="40"/>
      <c r="I41" s="34"/>
      <c r="J41" s="34"/>
      <c r="K41" s="34"/>
      <c r="L41" s="34"/>
      <c r="P41" s="82"/>
    </row>
    <row r="42" spans="2:16">
      <c r="B42" s="62"/>
      <c r="C42" s="34"/>
      <c r="D42" s="39"/>
      <c r="E42" s="34"/>
      <c r="F42" s="39"/>
      <c r="G42" s="40"/>
      <c r="H42" s="34"/>
      <c r="I42" s="34"/>
      <c r="J42" s="34"/>
      <c r="P42" s="82"/>
    </row>
    <row r="43" spans="2:16">
      <c r="B43" s="62"/>
      <c r="C43" s="16" t="s">
        <v>64</v>
      </c>
      <c r="D43" s="43">
        <f>SUM(H24:H39)</f>
        <v>16807946.815075539</v>
      </c>
      <c r="G43" s="35"/>
      <c r="I43" s="34"/>
      <c r="J43" s="34"/>
      <c r="P43" s="82"/>
    </row>
    <row r="44" spans="2:16">
      <c r="B44" s="62"/>
      <c r="C44" s="16" t="s">
        <v>94</v>
      </c>
      <c r="D44" s="43">
        <f>D9+D13</f>
        <v>21211405</v>
      </c>
      <c r="G44" s="35"/>
      <c r="I44" s="34"/>
      <c r="J44" s="34"/>
      <c r="P44" s="82"/>
    </row>
    <row r="45" spans="2:16">
      <c r="B45" s="62"/>
      <c r="C45" s="16" t="s">
        <v>65</v>
      </c>
      <c r="D45" s="43">
        <f>D43-D44</f>
        <v>-4403458.1849244609</v>
      </c>
      <c r="G45" s="35"/>
      <c r="P45" s="82"/>
    </row>
    <row r="46" spans="2:16">
      <c r="B46" s="62"/>
      <c r="F46" s="63"/>
      <c r="J46" s="64"/>
      <c r="P46" s="82"/>
    </row>
    <row r="47" spans="2:16">
      <c r="B47" s="62"/>
      <c r="C47" s="16"/>
      <c r="D47" s="41" t="s">
        <v>67</v>
      </c>
      <c r="E47" s="41" t="s">
        <v>95</v>
      </c>
      <c r="F47" s="42" t="s">
        <v>96</v>
      </c>
      <c r="G47" s="56"/>
      <c r="P47" s="82"/>
    </row>
    <row r="48" spans="2:16">
      <c r="B48" s="62"/>
      <c r="C48" s="16" t="s">
        <v>97</v>
      </c>
      <c r="D48" s="43">
        <f>D43</f>
        <v>16807946.815075539</v>
      </c>
      <c r="E48" s="44">
        <f>'Market Inputs '!H8</f>
        <v>25.798500000000001</v>
      </c>
      <c r="F48" s="45">
        <f>D48*E48</f>
        <v>433619815.90872633</v>
      </c>
      <c r="P48" s="82"/>
    </row>
    <row r="49" spans="2:16">
      <c r="B49" s="62"/>
      <c r="C49" s="16" t="s">
        <v>98</v>
      </c>
      <c r="D49" s="43">
        <f>D44</f>
        <v>21211405</v>
      </c>
      <c r="E49" s="44">
        <f>'Market Inputs '!H8</f>
        <v>25.798500000000001</v>
      </c>
      <c r="F49" s="45">
        <f>D49*E49</f>
        <v>547222431.89250004</v>
      </c>
      <c r="P49" s="82"/>
    </row>
    <row r="50" spans="2:16">
      <c r="B50" s="62"/>
      <c r="C50" s="16"/>
      <c r="D50" s="16"/>
      <c r="E50" s="16"/>
      <c r="F50" s="45">
        <f>F48-F49</f>
        <v>-113602615.98377371</v>
      </c>
      <c r="P50" s="82"/>
    </row>
    <row r="51" spans="2:16">
      <c r="B51" s="62"/>
      <c r="P51" s="82"/>
    </row>
    <row r="52" spans="2:16">
      <c r="B52" s="62"/>
      <c r="P52" s="82"/>
    </row>
    <row r="53" spans="2:16">
      <c r="B53" s="62"/>
      <c r="C53" s="16" t="s">
        <v>99</v>
      </c>
      <c r="P53" s="82"/>
    </row>
    <row r="54" spans="2:16">
      <c r="B54" s="62"/>
      <c r="C54" s="30">
        <f t="shared" ref="C54:C68" si="10">C55-365/2</f>
        <v>45745.5</v>
      </c>
      <c r="P54" s="82"/>
    </row>
    <row r="55" spans="2:16">
      <c r="B55" s="62"/>
      <c r="C55" s="30">
        <f t="shared" si="10"/>
        <v>45928</v>
      </c>
      <c r="P55" s="82"/>
    </row>
    <row r="56" spans="2:16">
      <c r="B56" s="62"/>
      <c r="C56" s="30">
        <f t="shared" si="10"/>
        <v>46110.5</v>
      </c>
      <c r="P56" s="82"/>
    </row>
    <row r="57" spans="2:16">
      <c r="B57" s="62"/>
      <c r="C57" s="30">
        <f t="shared" si="10"/>
        <v>46293</v>
      </c>
      <c r="P57" s="82"/>
    </row>
    <row r="58" spans="2:16">
      <c r="B58" s="62"/>
      <c r="C58" s="30">
        <f t="shared" si="10"/>
        <v>46475.5</v>
      </c>
      <c r="P58" s="82"/>
    </row>
    <row r="59" spans="2:16">
      <c r="B59" s="62"/>
      <c r="C59" s="30">
        <f t="shared" si="10"/>
        <v>46658</v>
      </c>
      <c r="P59" s="82"/>
    </row>
    <row r="60" spans="2:16">
      <c r="B60" s="62"/>
      <c r="C60" s="30">
        <f t="shared" si="10"/>
        <v>46840.5</v>
      </c>
      <c r="P60" s="82"/>
    </row>
    <row r="61" spans="2:16">
      <c r="B61" s="62"/>
      <c r="C61" s="30">
        <f t="shared" si="10"/>
        <v>47023</v>
      </c>
      <c r="P61" s="82"/>
    </row>
    <row r="62" spans="2:16">
      <c r="B62" s="62"/>
      <c r="C62" s="30">
        <f t="shared" si="10"/>
        <v>47205.5</v>
      </c>
      <c r="P62" s="82"/>
    </row>
    <row r="63" spans="2:16">
      <c r="B63" s="62"/>
      <c r="C63" s="30">
        <f t="shared" si="10"/>
        <v>47388</v>
      </c>
      <c r="P63" s="82"/>
    </row>
    <row r="64" spans="2:16">
      <c r="B64" s="62"/>
      <c r="C64" s="30">
        <f t="shared" si="10"/>
        <v>47570.5</v>
      </c>
      <c r="P64" s="82"/>
    </row>
    <row r="65" spans="2:16">
      <c r="B65" s="62"/>
      <c r="C65" s="30">
        <f t="shared" si="10"/>
        <v>47753</v>
      </c>
      <c r="P65" s="82"/>
    </row>
    <row r="66" spans="2:16">
      <c r="B66" s="62"/>
      <c r="C66" s="30">
        <f t="shared" si="10"/>
        <v>47935.5</v>
      </c>
      <c r="P66" s="82"/>
    </row>
    <row r="67" spans="2:16">
      <c r="B67" s="62"/>
      <c r="C67" s="30">
        <f t="shared" si="10"/>
        <v>48118</v>
      </c>
      <c r="P67" s="82"/>
    </row>
    <row r="68" spans="2:16">
      <c r="B68" s="62"/>
      <c r="C68" s="30">
        <f t="shared" si="10"/>
        <v>48300.5</v>
      </c>
      <c r="P68" s="82"/>
    </row>
    <row r="69" spans="2:16">
      <c r="B69" s="62"/>
      <c r="C69" s="30">
        <f>D14</f>
        <v>48483</v>
      </c>
      <c r="P69" s="82"/>
    </row>
    <row r="70" spans="2:16">
      <c r="B70" s="62"/>
      <c r="P70" s="82"/>
    </row>
    <row r="71" spans="2:16">
      <c r="B71" s="62"/>
      <c r="P71" s="82"/>
    </row>
    <row r="72" spans="2:16" ht="14.45" thickBot="1">
      <c r="B72" s="84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85"/>
    </row>
    <row r="73" spans="2:16" ht="14.45" thickTop="1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7F75-6520-4616-8B3A-F4C596C28B6A}">
  <sheetPr codeName="Sheet6"/>
  <dimension ref="B3:R84"/>
  <sheetViews>
    <sheetView showGridLines="0" topLeftCell="C1" zoomScale="52" workbookViewId="0">
      <selection activeCell="N26" sqref="N26"/>
    </sheetView>
  </sheetViews>
  <sheetFormatPr defaultColWidth="8.75" defaultRowHeight="13.9"/>
  <cols>
    <col min="1" max="2" width="8.75" style="38"/>
    <col min="3" max="3" width="30.25" style="38" bestFit="1" customWidth="1"/>
    <col min="4" max="4" width="14.75" style="38" customWidth="1"/>
    <col min="5" max="5" width="9.25" style="38" bestFit="1" customWidth="1"/>
    <col min="6" max="6" width="14.75" style="38" bestFit="1" customWidth="1"/>
    <col min="7" max="7" width="9.75" style="38" bestFit="1" customWidth="1"/>
    <col min="8" max="8" width="15.25" style="38" bestFit="1" customWidth="1"/>
    <col min="9" max="9" width="10.75" style="38" bestFit="1" customWidth="1"/>
    <col min="10" max="10" width="12.25" style="38" bestFit="1" customWidth="1"/>
    <col min="11" max="12" width="12" style="38" customWidth="1"/>
    <col min="13" max="13" width="11.75" style="38" bestFit="1" customWidth="1"/>
    <col min="14" max="14" width="13.75" style="38" bestFit="1" customWidth="1"/>
    <col min="15" max="16384" width="8.75" style="38"/>
  </cols>
  <sheetData>
    <row r="3" spans="2:18">
      <c r="F3" s="63"/>
    </row>
    <row r="4" spans="2:18" ht="14.45" thickBot="1">
      <c r="F4" s="63"/>
    </row>
    <row r="5" spans="2:18" ht="14.45" thickTop="1">
      <c r="B5" s="49"/>
      <c r="C5" s="50"/>
      <c r="D5" s="50"/>
      <c r="E5" s="50"/>
      <c r="F5" s="51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81"/>
    </row>
    <row r="6" spans="2:18">
      <c r="B6" s="62"/>
      <c r="C6" s="16" t="s">
        <v>55</v>
      </c>
      <c r="D6" s="17" t="s">
        <v>106</v>
      </c>
      <c r="R6" s="82"/>
    </row>
    <row r="7" spans="2:18">
      <c r="B7" s="62"/>
      <c r="C7" s="16" t="s">
        <v>70</v>
      </c>
      <c r="D7" s="18">
        <v>45657</v>
      </c>
      <c r="G7" s="87"/>
      <c r="H7" s="54"/>
      <c r="R7" s="82"/>
    </row>
    <row r="8" spans="2:18">
      <c r="B8" s="62"/>
      <c r="C8" s="16" t="s">
        <v>104</v>
      </c>
      <c r="D8" s="93">
        <f>3524080+756400</f>
        <v>4280480</v>
      </c>
      <c r="H8" s="54"/>
      <c r="R8" s="82"/>
    </row>
    <row r="9" spans="2:18">
      <c r="B9" s="62"/>
      <c r="C9" s="16" t="s">
        <v>107</v>
      </c>
      <c r="D9" s="94">
        <v>4280480</v>
      </c>
      <c r="I9" s="32"/>
      <c r="R9" s="82"/>
    </row>
    <row r="10" spans="2:18">
      <c r="B10" s="62"/>
      <c r="C10" s="16" t="s">
        <v>57</v>
      </c>
      <c r="D10" s="17" t="s">
        <v>66</v>
      </c>
      <c r="R10" s="82"/>
    </row>
    <row r="11" spans="2:18">
      <c r="B11" s="62"/>
      <c r="C11" s="16" t="s">
        <v>72</v>
      </c>
      <c r="D11" s="20">
        <v>0.125</v>
      </c>
      <c r="G11" s="56"/>
      <c r="H11" s="57"/>
      <c r="I11" s="33"/>
      <c r="J11" s="54"/>
      <c r="R11" s="82"/>
    </row>
    <row r="12" spans="2:18">
      <c r="B12" s="62"/>
      <c r="C12" s="16" t="s">
        <v>73</v>
      </c>
      <c r="D12" s="21" t="s">
        <v>74</v>
      </c>
      <c r="G12" s="56"/>
      <c r="H12" s="58"/>
      <c r="I12" s="34"/>
      <c r="J12" s="59"/>
      <c r="R12" s="82"/>
    </row>
    <row r="13" spans="2:18">
      <c r="B13" s="62"/>
      <c r="C13" s="16" t="str">
        <f>'[1]Richaw $205k'!A12</f>
        <v>Interest Accrued to 31 December 2024</v>
      </c>
      <c r="D13" s="22">
        <v>784146</v>
      </c>
      <c r="E13" s="38" t="s">
        <v>76</v>
      </c>
      <c r="F13" s="35"/>
      <c r="G13" s="60"/>
      <c r="H13" s="59"/>
      <c r="I13" s="34"/>
      <c r="J13" s="59"/>
      <c r="R13" s="82"/>
    </row>
    <row r="14" spans="2:18">
      <c r="B14" s="62"/>
      <c r="C14" s="16" t="s">
        <v>59</v>
      </c>
      <c r="D14" s="18">
        <f>D15+(12*365)</f>
        <v>49205</v>
      </c>
      <c r="F14" s="34"/>
      <c r="G14" s="61"/>
      <c r="H14" s="59"/>
      <c r="I14" s="34"/>
      <c r="J14" s="59"/>
      <c r="R14" s="82"/>
    </row>
    <row r="15" spans="2:18">
      <c r="B15" s="62"/>
      <c r="C15" s="16" t="s">
        <v>58</v>
      </c>
      <c r="D15" s="18">
        <v>44825</v>
      </c>
      <c r="E15" s="58"/>
      <c r="F15" s="59"/>
      <c r="G15" s="59"/>
      <c r="H15" s="59"/>
      <c r="I15" s="59"/>
      <c r="J15" s="59"/>
      <c r="R15" s="82"/>
    </row>
    <row r="16" spans="2:18">
      <c r="B16" s="62"/>
      <c r="C16" s="16" t="s">
        <v>77</v>
      </c>
      <c r="D16" s="18">
        <f>C61</f>
        <v>45737.5</v>
      </c>
      <c r="E16" s="58"/>
      <c r="F16" s="40"/>
      <c r="G16" s="40"/>
      <c r="H16" s="40"/>
      <c r="I16" s="40"/>
      <c r="J16" s="34"/>
      <c r="R16" s="82"/>
    </row>
    <row r="17" spans="2:18">
      <c r="B17" s="62"/>
      <c r="C17" s="16" t="s">
        <v>70</v>
      </c>
      <c r="D17" s="18">
        <f>D7</f>
        <v>45657</v>
      </c>
      <c r="H17" s="59"/>
      <c r="I17" s="34"/>
      <c r="J17" s="59"/>
      <c r="R17" s="82"/>
    </row>
    <row r="18" spans="2:18">
      <c r="B18" s="62"/>
      <c r="C18" s="16" t="s">
        <v>108</v>
      </c>
      <c r="D18" s="18">
        <f>I43</f>
        <v>48659</v>
      </c>
      <c r="E18" s="40"/>
      <c r="F18" s="40"/>
      <c r="G18" s="40"/>
      <c r="H18" s="40"/>
      <c r="I18" s="40"/>
      <c r="J18" s="36"/>
      <c r="R18" s="82"/>
    </row>
    <row r="19" spans="2:18">
      <c r="B19" s="62"/>
      <c r="C19" s="16" t="s">
        <v>109</v>
      </c>
      <c r="D19" s="95">
        <v>20</v>
      </c>
      <c r="H19" s="59"/>
      <c r="I19" s="34"/>
      <c r="J19" s="36"/>
      <c r="R19" s="82"/>
    </row>
    <row r="20" spans="2:18">
      <c r="B20" s="62"/>
      <c r="C20" s="16" t="s">
        <v>78</v>
      </c>
      <c r="D20" s="20">
        <f>'Market Inputs '!H5</f>
        <v>2.9600000000000001E-2</v>
      </c>
      <c r="E20" s="40" t="s">
        <v>79</v>
      </c>
      <c r="F20" s="40"/>
      <c r="G20" s="40"/>
      <c r="H20" s="40"/>
      <c r="I20" s="40"/>
      <c r="J20" s="36"/>
      <c r="R20" s="82"/>
    </row>
    <row r="21" spans="2:18">
      <c r="B21" s="62"/>
      <c r="C21" s="16" t="s">
        <v>80</v>
      </c>
      <c r="D21" s="20">
        <f>'Market Inputs '!H9</f>
        <v>0.1202</v>
      </c>
      <c r="E21" s="40" t="s">
        <v>81</v>
      </c>
      <c r="F21" s="40"/>
      <c r="G21" s="40"/>
      <c r="H21" s="40"/>
      <c r="I21" s="40"/>
      <c r="J21" s="36"/>
      <c r="R21" s="82"/>
    </row>
    <row r="22" spans="2:18">
      <c r="B22" s="62"/>
      <c r="D22" s="91"/>
      <c r="E22" s="40"/>
      <c r="F22" s="40"/>
      <c r="G22" s="40"/>
      <c r="H22" s="40"/>
      <c r="I22" s="40"/>
      <c r="J22" s="36"/>
      <c r="R22" s="82"/>
    </row>
    <row r="23" spans="2:18">
      <c r="B23" s="62"/>
      <c r="R23" s="82"/>
    </row>
    <row r="24" spans="2:18">
      <c r="B24" s="62"/>
      <c r="C24" s="96" t="s">
        <v>83</v>
      </c>
      <c r="D24" s="96" t="s">
        <v>84</v>
      </c>
      <c r="E24" s="96" t="s">
        <v>85</v>
      </c>
      <c r="F24" s="96" t="s">
        <v>86</v>
      </c>
      <c r="G24" s="96" t="s">
        <v>87</v>
      </c>
      <c r="H24" s="96" t="s">
        <v>88</v>
      </c>
      <c r="I24" s="96" t="s">
        <v>82</v>
      </c>
      <c r="J24" s="96" t="s">
        <v>90</v>
      </c>
      <c r="K24" s="96" t="s">
        <v>101</v>
      </c>
      <c r="L24" s="96" t="s">
        <v>110</v>
      </c>
      <c r="M24" s="96" t="s">
        <v>71</v>
      </c>
      <c r="N24" s="97" t="s">
        <v>93</v>
      </c>
      <c r="R24" s="82"/>
    </row>
    <row r="25" spans="2:18">
      <c r="B25" s="62"/>
      <c r="C25" s="28"/>
      <c r="D25" s="28"/>
      <c r="E25" s="28"/>
      <c r="F25" s="29"/>
      <c r="G25" s="28"/>
      <c r="H25" s="29"/>
      <c r="I25" s="30"/>
      <c r="J25" s="28"/>
      <c r="K25" s="28"/>
      <c r="L25" s="28"/>
      <c r="M25" s="28"/>
      <c r="N25" s="28"/>
      <c r="R25" s="82"/>
    </row>
    <row r="26" spans="2:18">
      <c r="B26" s="62"/>
      <c r="C26" s="28">
        <f t="shared" ref="C26:C46" si="0">(I26-$D$17)/365</f>
        <v>0</v>
      </c>
      <c r="D26" s="28"/>
      <c r="E26" s="28"/>
      <c r="F26" s="29"/>
      <c r="G26" s="28"/>
      <c r="H26" s="29"/>
      <c r="I26" s="30">
        <f>D17</f>
        <v>45657</v>
      </c>
      <c r="J26" s="28"/>
      <c r="K26" s="28"/>
      <c r="L26" s="28">
        <f>D13</f>
        <v>784146</v>
      </c>
      <c r="M26" s="28"/>
      <c r="N26" s="28">
        <f>D9</f>
        <v>4280480</v>
      </c>
      <c r="R26" s="82"/>
    </row>
    <row r="27" spans="2:18">
      <c r="B27" s="62"/>
      <c r="C27" s="28">
        <f t="shared" si="0"/>
        <v>0.21917808219178081</v>
      </c>
      <c r="D27" s="31">
        <v>4.1820125272753778E-2</v>
      </c>
      <c r="E27" s="31">
        <f>$D$21+$D$20+D27</f>
        <v>0.19162012527275377</v>
      </c>
      <c r="F27" s="29">
        <f>SUM(J27,K27,M27)</f>
        <v>391988.17671232874</v>
      </c>
      <c r="G27" s="31">
        <f>1/(1+D27)^(C27)</f>
        <v>0.99106062250117</v>
      </c>
      <c r="H27" s="29">
        <f>F27*G27</f>
        <v>388484.04642561916</v>
      </c>
      <c r="I27" s="30">
        <f>WORKDAY(C61-1, 1, 'Market Inputs '!$B$23:$B$36)</f>
        <v>45737</v>
      </c>
      <c r="J27" s="28">
        <f>(I27-I26)/365*$D$11*(N26+L26)</f>
        <v>138756.87671232875</v>
      </c>
      <c r="K27" s="28">
        <f>$D$13/20</f>
        <v>39207.300000000003</v>
      </c>
      <c r="L27" s="28">
        <f>L26-K27</f>
        <v>744938.7</v>
      </c>
      <c r="M27" s="28">
        <f t="shared" ref="M27:M46" si="1">$N$26/$D$19</f>
        <v>214024</v>
      </c>
      <c r="N27" s="28">
        <f>N26-M27</f>
        <v>4066456</v>
      </c>
      <c r="R27" s="82"/>
    </row>
    <row r="28" spans="2:18">
      <c r="B28" s="62"/>
      <c r="C28" s="28">
        <f t="shared" si="0"/>
        <v>0.72602739726027399</v>
      </c>
      <c r="D28" s="31">
        <v>4.1649719353853837E-2</v>
      </c>
      <c r="E28" s="31">
        <f t="shared" ref="E28:E46" si="2">$D$21+$D$20+D28</f>
        <v>0.19144971935385383</v>
      </c>
      <c r="F28" s="29">
        <f>SUM(J28,K28,M28)</f>
        <v>558062.81352739735</v>
      </c>
      <c r="G28" s="31">
        <f t="shared" ref="G28:G46" si="3">1/(1+D28)^(C28)</f>
        <v>0.97080847593466801</v>
      </c>
      <c r="H28" s="29">
        <f>F28*G28</f>
        <v>541772.10947634547</v>
      </c>
      <c r="I28" s="30">
        <f>WORKDAY(C62-1, 1, 'Market Inputs '!$B$23:$B$36)</f>
        <v>45922</v>
      </c>
      <c r="J28" s="28">
        <f t="shared" ref="J28:J46" si="4">(I28-I27)/365*$D$11*(N27+L27)</f>
        <v>304831.5135273973</v>
      </c>
      <c r="K28" s="28">
        <f>$D$13/20</f>
        <v>39207.300000000003</v>
      </c>
      <c r="L28" s="28">
        <f>L27-K28</f>
        <v>705731.39999999991</v>
      </c>
      <c r="M28" s="28">
        <f t="shared" si="1"/>
        <v>214024</v>
      </c>
      <c r="N28" s="28">
        <f t="shared" ref="N28:N46" si="5">N27-M28</f>
        <v>3852432</v>
      </c>
      <c r="R28" s="82"/>
    </row>
    <row r="29" spans="2:18">
      <c r="B29" s="62"/>
      <c r="C29" s="28">
        <f t="shared" si="0"/>
        <v>1.2246575342465753</v>
      </c>
      <c r="D29" s="31">
        <v>4.1499971195834623E-2</v>
      </c>
      <c r="E29" s="31">
        <f t="shared" si="2"/>
        <v>0.19129997119583461</v>
      </c>
      <c r="F29" s="29">
        <f>SUM(J29,K29,M29)</f>
        <v>537336.00506849319</v>
      </c>
      <c r="G29" s="31">
        <f t="shared" si="3"/>
        <v>0.95142257373997663</v>
      </c>
      <c r="H29" s="29">
        <f>F29*G29</f>
        <v>511233.60490542289</v>
      </c>
      <c r="I29" s="30">
        <f>WORKDAY(C63-1, 1, 'Market Inputs '!$B$23:$B$36)</f>
        <v>46104</v>
      </c>
      <c r="J29" s="28">
        <f t="shared" si="4"/>
        <v>284104.7050684932</v>
      </c>
      <c r="K29" s="28">
        <f t="shared" ref="K29:K46" si="6">$D$13/20</f>
        <v>39207.300000000003</v>
      </c>
      <c r="L29" s="28">
        <f t="shared" ref="L29:L46" si="7">L28-K29</f>
        <v>666524.09999999986</v>
      </c>
      <c r="M29" s="28">
        <f t="shared" si="1"/>
        <v>214024</v>
      </c>
      <c r="N29" s="28">
        <f t="shared" si="5"/>
        <v>3638408</v>
      </c>
      <c r="R29" s="82"/>
    </row>
    <row r="30" spans="2:18">
      <c r="B30" s="62"/>
      <c r="C30" s="28">
        <f t="shared" si="0"/>
        <v>1.7232876712328766</v>
      </c>
      <c r="D30" s="31">
        <v>4.1366187731043592E-2</v>
      </c>
      <c r="E30" s="31">
        <f t="shared" si="2"/>
        <v>0.19116618773104357</v>
      </c>
      <c r="F30" s="29">
        <f t="shared" ref="F30:F46" si="8">SUM(J30,K30,M30)</f>
        <v>521552.41034246574</v>
      </c>
      <c r="G30" s="31">
        <f t="shared" si="3"/>
        <v>0.93253287911413296</v>
      </c>
      <c r="H30" s="29">
        <f>F30*G30</f>
        <v>486364.77082557528</v>
      </c>
      <c r="I30" s="30">
        <f>WORKDAY(C64-1, 1, 'Market Inputs '!$B$23:$B$36)</f>
        <v>46286</v>
      </c>
      <c r="J30" s="28">
        <f t="shared" si="4"/>
        <v>268321.11034246575</v>
      </c>
      <c r="K30" s="28">
        <f t="shared" si="6"/>
        <v>39207.300000000003</v>
      </c>
      <c r="L30" s="28">
        <f t="shared" si="7"/>
        <v>627316.79999999981</v>
      </c>
      <c r="M30" s="28">
        <f t="shared" si="1"/>
        <v>214024</v>
      </c>
      <c r="N30" s="28">
        <f t="shared" si="5"/>
        <v>3424384</v>
      </c>
      <c r="R30" s="82"/>
    </row>
    <row r="31" spans="2:18">
      <c r="B31" s="62"/>
      <c r="C31" s="28">
        <f t="shared" si="0"/>
        <v>2.2219178082191782</v>
      </c>
      <c r="D31" s="31">
        <v>4.1246763845489386E-2</v>
      </c>
      <c r="E31" s="31">
        <f t="shared" si="2"/>
        <v>0.19104676384548938</v>
      </c>
      <c r="F31" s="29">
        <f>SUM(J31,K31,M31)</f>
        <v>505768.81561643834</v>
      </c>
      <c r="G31" s="31">
        <f t="shared" si="3"/>
        <v>0.91410734781986391</v>
      </c>
      <c r="H31" s="29">
        <f>F31*G31</f>
        <v>462326.99065313622</v>
      </c>
      <c r="I31" s="30">
        <f>WORKDAY(C65-1, 1, 'Market Inputs '!$B$23:$B$36)</f>
        <v>46468</v>
      </c>
      <c r="J31" s="28">
        <f t="shared" si="4"/>
        <v>252537.51561643835</v>
      </c>
      <c r="K31" s="28">
        <f t="shared" si="6"/>
        <v>39207.300000000003</v>
      </c>
      <c r="L31" s="28">
        <f t="shared" si="7"/>
        <v>588109.49999999977</v>
      </c>
      <c r="M31" s="28">
        <f t="shared" si="1"/>
        <v>214024</v>
      </c>
      <c r="N31" s="28">
        <f t="shared" si="5"/>
        <v>3210360</v>
      </c>
      <c r="R31" s="82"/>
    </row>
    <row r="32" spans="2:18">
      <c r="B32" s="62"/>
      <c r="C32" s="28">
        <f t="shared" si="0"/>
        <v>2.7205479452054795</v>
      </c>
      <c r="D32" s="31">
        <v>4.1140246768147461E-2</v>
      </c>
      <c r="E32" s="31">
        <f t="shared" si="2"/>
        <v>0.19094024676814744</v>
      </c>
      <c r="F32" s="29">
        <f t="shared" si="8"/>
        <v>489985.22089041094</v>
      </c>
      <c r="G32" s="31">
        <f t="shared" si="3"/>
        <v>0.89611817654321768</v>
      </c>
      <c r="H32" s="29">
        <f t="shared" ref="H32:H46" si="9">F32*G32</f>
        <v>439084.66267744079</v>
      </c>
      <c r="I32" s="30">
        <f>WORKDAY(C66-1, 1, 'Market Inputs '!$B$23:$B$36)</f>
        <v>46650</v>
      </c>
      <c r="J32" s="28">
        <f t="shared" si="4"/>
        <v>236753.92089041095</v>
      </c>
      <c r="K32" s="28">
        <f t="shared" si="6"/>
        <v>39207.300000000003</v>
      </c>
      <c r="L32" s="28">
        <f t="shared" si="7"/>
        <v>548902.19999999972</v>
      </c>
      <c r="M32" s="28">
        <f t="shared" si="1"/>
        <v>214024</v>
      </c>
      <c r="N32" s="28">
        <f t="shared" si="5"/>
        <v>2996336</v>
      </c>
      <c r="R32" s="82"/>
    </row>
    <row r="33" spans="2:18">
      <c r="B33" s="62"/>
      <c r="C33" s="28">
        <f t="shared" si="0"/>
        <v>3.2191780821917808</v>
      </c>
      <c r="D33" s="31">
        <v>4.1045321981617047E-2</v>
      </c>
      <c r="E33" s="31">
        <f t="shared" si="2"/>
        <v>0.19084532198161702</v>
      </c>
      <c r="F33" s="29">
        <f t="shared" si="8"/>
        <v>474201.62616438355</v>
      </c>
      <c r="G33" s="31">
        <f t="shared" si="3"/>
        <v>0.87854118914799939</v>
      </c>
      <c r="H33" s="29">
        <f t="shared" si="9"/>
        <v>416605.66054637259</v>
      </c>
      <c r="I33" s="30">
        <f>WORKDAY(C67-1, 1, 'Market Inputs '!$B$23:$B$36)</f>
        <v>46832</v>
      </c>
      <c r="J33" s="28">
        <f t="shared" si="4"/>
        <v>220970.32616438356</v>
      </c>
      <c r="K33" s="28">
        <f t="shared" si="6"/>
        <v>39207.300000000003</v>
      </c>
      <c r="L33" s="28">
        <f t="shared" si="7"/>
        <v>509694.89999999973</v>
      </c>
      <c r="M33" s="28">
        <f t="shared" si="1"/>
        <v>214024</v>
      </c>
      <c r="N33" s="28">
        <f t="shared" si="5"/>
        <v>2782312</v>
      </c>
      <c r="R33" s="82"/>
    </row>
    <row r="34" spans="2:18">
      <c r="B34" s="62"/>
      <c r="C34" s="28">
        <f t="shared" si="0"/>
        <v>3.7205479452054795</v>
      </c>
      <c r="D34" s="31">
        <v>4.0960362716266546E-2</v>
      </c>
      <c r="E34" s="31">
        <f t="shared" si="2"/>
        <v>0.19076036271626653</v>
      </c>
      <c r="F34" s="29">
        <f t="shared" si="8"/>
        <v>459545.43106164387</v>
      </c>
      <c r="G34" s="31">
        <f t="shared" si="3"/>
        <v>0.86126192725934381</v>
      </c>
      <c r="H34" s="29">
        <f t="shared" si="9"/>
        <v>395788.98361937731</v>
      </c>
      <c r="I34" s="30">
        <f>WORKDAY(C68-1, 1, 'Market Inputs '!$B$23:$B$36)</f>
        <v>47015</v>
      </c>
      <c r="J34" s="28">
        <f t="shared" si="4"/>
        <v>206314.13106164386</v>
      </c>
      <c r="K34" s="28">
        <f t="shared" si="6"/>
        <v>39207.300000000003</v>
      </c>
      <c r="L34" s="28">
        <f t="shared" si="7"/>
        <v>470487.59999999974</v>
      </c>
      <c r="M34" s="28">
        <f t="shared" si="1"/>
        <v>214024</v>
      </c>
      <c r="N34" s="28">
        <f t="shared" si="5"/>
        <v>2568288</v>
      </c>
      <c r="R34" s="82"/>
    </row>
    <row r="35" spans="2:18">
      <c r="B35" s="62"/>
      <c r="C35" s="28">
        <f t="shared" si="0"/>
        <v>4.2191780821917808</v>
      </c>
      <c r="D35" s="31">
        <v>4.0885217599567758E-2</v>
      </c>
      <c r="E35" s="31">
        <f t="shared" si="2"/>
        <v>0.19068521759956775</v>
      </c>
      <c r="F35" s="29">
        <f t="shared" si="8"/>
        <v>442634.43671232875</v>
      </c>
      <c r="G35" s="31">
        <f t="shared" si="3"/>
        <v>0.84445072983729386</v>
      </c>
      <c r="H35" s="29">
        <f t="shared" si="9"/>
        <v>373782.97313284548</v>
      </c>
      <c r="I35" s="30">
        <f>WORKDAY(C69-1, 1, 'Market Inputs '!$B$23:$B$36)</f>
        <v>47197</v>
      </c>
      <c r="J35" s="28">
        <f t="shared" si="4"/>
        <v>189403.13671232873</v>
      </c>
      <c r="K35" s="28">
        <f t="shared" si="6"/>
        <v>39207.300000000003</v>
      </c>
      <c r="L35" s="28">
        <f t="shared" si="7"/>
        <v>431280.29999999976</v>
      </c>
      <c r="M35" s="28">
        <f t="shared" si="1"/>
        <v>214024</v>
      </c>
      <c r="N35" s="28">
        <f t="shared" si="5"/>
        <v>2354264</v>
      </c>
      <c r="R35" s="82"/>
    </row>
    <row r="36" spans="2:18">
      <c r="B36" s="62"/>
      <c r="C36" s="28">
        <f t="shared" si="0"/>
        <v>4.720547945205479</v>
      </c>
      <c r="D36" s="31">
        <v>4.0818077772653547E-2</v>
      </c>
      <c r="E36" s="31">
        <f t="shared" si="2"/>
        <v>0.19061807777265355</v>
      </c>
      <c r="F36" s="29">
        <f t="shared" si="8"/>
        <v>427804.79551369866</v>
      </c>
      <c r="G36" s="31">
        <f t="shared" si="3"/>
        <v>0.82790650906081276</v>
      </c>
      <c r="H36" s="29">
        <f t="shared" si="9"/>
        <v>354182.3748132211</v>
      </c>
      <c r="I36" s="30">
        <f>WORKDAY(C70-1, 1, 'Market Inputs '!$B$23:$B$36)</f>
        <v>47380</v>
      </c>
      <c r="J36" s="28">
        <f t="shared" si="4"/>
        <v>174573.49551369864</v>
      </c>
      <c r="K36" s="28">
        <f t="shared" si="6"/>
        <v>39207.300000000003</v>
      </c>
      <c r="L36" s="28">
        <f t="shared" si="7"/>
        <v>392072.99999999977</v>
      </c>
      <c r="M36" s="28">
        <f t="shared" si="1"/>
        <v>214024</v>
      </c>
      <c r="N36" s="28">
        <f t="shared" si="5"/>
        <v>2140240</v>
      </c>
      <c r="R36" s="82"/>
    </row>
    <row r="37" spans="2:18">
      <c r="B37" s="62"/>
      <c r="C37" s="28">
        <f t="shared" si="0"/>
        <v>5.2191780821917808</v>
      </c>
      <c r="D37" s="31">
        <v>4.075879533709114E-2</v>
      </c>
      <c r="E37" s="31">
        <f t="shared" si="2"/>
        <v>0.19055879533709114</v>
      </c>
      <c r="F37" s="29">
        <f>SUM(J37,K37,M37)</f>
        <v>411067.24726027396</v>
      </c>
      <c r="G37" s="31">
        <f t="shared" si="3"/>
        <v>0.81179578464942814</v>
      </c>
      <c r="H37" s="29">
        <f t="shared" si="9"/>
        <v>333702.65853333462</v>
      </c>
      <c r="I37" s="30">
        <f>WORKDAY(C71-1, 1, 'Market Inputs '!$B$23:$B$36)</f>
        <v>47562</v>
      </c>
      <c r="J37" s="28">
        <f t="shared" si="4"/>
        <v>157835.94726027397</v>
      </c>
      <c r="K37" s="28">
        <f t="shared" si="6"/>
        <v>39207.300000000003</v>
      </c>
      <c r="L37" s="28">
        <f t="shared" si="7"/>
        <v>352865.69999999978</v>
      </c>
      <c r="M37" s="28">
        <f t="shared" si="1"/>
        <v>214024</v>
      </c>
      <c r="N37" s="28">
        <f t="shared" si="5"/>
        <v>1926216</v>
      </c>
      <c r="R37" s="82"/>
    </row>
    <row r="38" spans="2:18">
      <c r="B38" s="62"/>
      <c r="C38" s="28">
        <f t="shared" si="0"/>
        <v>5.720547945205479</v>
      </c>
      <c r="D38" s="31">
        <v>4.0705916785254981E-2</v>
      </c>
      <c r="E38" s="31">
        <f t="shared" si="2"/>
        <v>0.19050591678525497</v>
      </c>
      <c r="F38" s="29">
        <f t="shared" si="8"/>
        <v>396064.15996575344</v>
      </c>
      <c r="G38" s="31">
        <f t="shared" si="3"/>
        <v>0.79592878192435335</v>
      </c>
      <c r="H38" s="29">
        <f t="shared" si="9"/>
        <v>315238.86440543435</v>
      </c>
      <c r="I38" s="30">
        <f>WORKDAY(C72-1, 1, 'Market Inputs '!$B$23:$B$36)</f>
        <v>47745</v>
      </c>
      <c r="J38" s="28">
        <f t="shared" si="4"/>
        <v>142832.85996575342</v>
      </c>
      <c r="K38" s="28">
        <f t="shared" si="6"/>
        <v>39207.300000000003</v>
      </c>
      <c r="L38" s="28">
        <f t="shared" si="7"/>
        <v>313658.39999999979</v>
      </c>
      <c r="M38" s="28">
        <f t="shared" si="1"/>
        <v>214024</v>
      </c>
      <c r="N38" s="28">
        <f t="shared" si="5"/>
        <v>1712192</v>
      </c>
      <c r="R38" s="82"/>
    </row>
    <row r="39" spans="2:18">
      <c r="B39" s="62"/>
      <c r="C39" s="28">
        <f t="shared" si="0"/>
        <v>6.2191780821917808</v>
      </c>
      <c r="D39" s="31">
        <v>4.0659301270373892E-2</v>
      </c>
      <c r="E39" s="31">
        <f t="shared" si="2"/>
        <v>0.19045930127037389</v>
      </c>
      <c r="F39" s="29">
        <f t="shared" si="8"/>
        <v>379500.05780821916</v>
      </c>
      <c r="G39" s="31">
        <f t="shared" si="3"/>
        <v>0.78046767304715092</v>
      </c>
      <c r="H39" s="29">
        <f t="shared" si="9"/>
        <v>296187.52703884005</v>
      </c>
      <c r="I39" s="30">
        <f>WORKDAY(C73-1, 1, 'Market Inputs '!$B$23:$B$36)</f>
        <v>47927</v>
      </c>
      <c r="J39" s="28">
        <f t="shared" si="4"/>
        <v>126268.75780821918</v>
      </c>
      <c r="K39" s="28">
        <f t="shared" si="6"/>
        <v>39207.300000000003</v>
      </c>
      <c r="L39" s="28">
        <f t="shared" si="7"/>
        <v>274451.0999999998</v>
      </c>
      <c r="M39" s="28">
        <f t="shared" si="1"/>
        <v>214024</v>
      </c>
      <c r="N39" s="28">
        <f t="shared" si="5"/>
        <v>1498168</v>
      </c>
      <c r="R39" s="82"/>
    </row>
    <row r="40" spans="2:18">
      <c r="B40" s="62"/>
      <c r="C40" s="28">
        <f t="shared" si="0"/>
        <v>6.720547945205479</v>
      </c>
      <c r="D40" s="31">
        <v>4.0617783216788259E-2</v>
      </c>
      <c r="E40" s="31">
        <f t="shared" si="2"/>
        <v>0.19041778321678826</v>
      </c>
      <c r="F40" s="29">
        <f t="shared" si="8"/>
        <v>364323.52441780822</v>
      </c>
      <c r="G40" s="31">
        <f t="shared" si="3"/>
        <v>0.76523243595581236</v>
      </c>
      <c r="H40" s="29">
        <f t="shared" si="9"/>
        <v>278792.17806624627</v>
      </c>
      <c r="I40" s="30">
        <f>WORKDAY(C74-1, 1, 'Market Inputs '!$B$23:$B$36)</f>
        <v>48110</v>
      </c>
      <c r="J40" s="28">
        <f t="shared" si="4"/>
        <v>111092.22441780822</v>
      </c>
      <c r="K40" s="28">
        <f t="shared" si="6"/>
        <v>39207.300000000003</v>
      </c>
      <c r="L40" s="28">
        <f t="shared" si="7"/>
        <v>235243.79999999981</v>
      </c>
      <c r="M40" s="28">
        <f t="shared" si="1"/>
        <v>214024</v>
      </c>
      <c r="N40" s="28">
        <f t="shared" si="5"/>
        <v>1284144</v>
      </c>
      <c r="R40" s="82"/>
    </row>
    <row r="41" spans="2:18">
      <c r="B41" s="62"/>
      <c r="C41" s="28">
        <f t="shared" si="0"/>
        <v>7.2191780821917808</v>
      </c>
      <c r="D41" s="31">
        <v>4.0581231414615095E-2</v>
      </c>
      <c r="E41" s="31">
        <f t="shared" si="2"/>
        <v>0.19038123141461508</v>
      </c>
      <c r="F41" s="29">
        <f t="shared" si="8"/>
        <v>347932.86835616437</v>
      </c>
      <c r="G41" s="31">
        <f t="shared" si="3"/>
        <v>0.75038054055307324</v>
      </c>
      <c r="H41" s="29">
        <f t="shared" si="9"/>
        <v>261082.0538332799</v>
      </c>
      <c r="I41" s="30">
        <f>WORKDAY(C75-1, 1, 'Market Inputs '!$B$23:$B$36)</f>
        <v>48292</v>
      </c>
      <c r="J41" s="28">
        <f t="shared" si="4"/>
        <v>94701.568356164367</v>
      </c>
      <c r="K41" s="28">
        <f t="shared" si="6"/>
        <v>39207.300000000003</v>
      </c>
      <c r="L41" s="28">
        <f t="shared" si="7"/>
        <v>196036.49999999983</v>
      </c>
      <c r="M41" s="28">
        <f t="shared" si="1"/>
        <v>214024</v>
      </c>
      <c r="N41" s="28">
        <f t="shared" si="5"/>
        <v>1070120</v>
      </c>
      <c r="R41" s="82"/>
    </row>
    <row r="42" spans="2:18">
      <c r="B42" s="62"/>
      <c r="C42" s="28">
        <f t="shared" si="0"/>
        <v>7.7260273972602738</v>
      </c>
      <c r="D42" s="31">
        <v>4.054837922351414E-2</v>
      </c>
      <c r="E42" s="31">
        <f t="shared" si="2"/>
        <v>0.19034837922351414</v>
      </c>
      <c r="F42" s="29">
        <f t="shared" si="8"/>
        <v>333450.11934931506</v>
      </c>
      <c r="G42" s="31">
        <f t="shared" si="3"/>
        <v>0.73558213707071651</v>
      </c>
      <c r="H42" s="29">
        <f t="shared" si="9"/>
        <v>245279.95139745466</v>
      </c>
      <c r="I42" s="30">
        <f>WORKDAY(C76-1, 1, 'Market Inputs '!$B$23:$B$36)</f>
        <v>48477</v>
      </c>
      <c r="J42" s="28">
        <f t="shared" si="4"/>
        <v>80218.819349315061</v>
      </c>
      <c r="K42" s="28">
        <f t="shared" si="6"/>
        <v>39207.300000000003</v>
      </c>
      <c r="L42" s="28">
        <f t="shared" si="7"/>
        <v>156829.19999999984</v>
      </c>
      <c r="M42" s="28">
        <f t="shared" si="1"/>
        <v>214024</v>
      </c>
      <c r="N42" s="28">
        <f t="shared" si="5"/>
        <v>856096</v>
      </c>
      <c r="R42" s="82"/>
    </row>
    <row r="43" spans="2:18">
      <c r="B43" s="62"/>
      <c r="C43" s="28">
        <f t="shared" si="0"/>
        <v>8.2246575342465746</v>
      </c>
      <c r="D43" s="31">
        <v>4.0519812873539701E-2</v>
      </c>
      <c r="E43" s="31">
        <f t="shared" si="2"/>
        <v>0.19031981287353969</v>
      </c>
      <c r="F43" s="29">
        <f t="shared" si="8"/>
        <v>316365.67890410958</v>
      </c>
      <c r="G43" s="31">
        <f t="shared" si="3"/>
        <v>0.72130965367526645</v>
      </c>
      <c r="H43" s="29">
        <f t="shared" si="9"/>
        <v>228197.61828506383</v>
      </c>
      <c r="I43" s="30">
        <f>WORKDAY(C77-1, 1, 'Market Inputs '!$B$23:$B$36)</f>
        <v>48659</v>
      </c>
      <c r="J43" s="28">
        <f t="shared" si="4"/>
        <v>63134.378904109581</v>
      </c>
      <c r="K43" s="28">
        <f t="shared" si="6"/>
        <v>39207.300000000003</v>
      </c>
      <c r="L43" s="28">
        <f t="shared" si="7"/>
        <v>117621.89999999983</v>
      </c>
      <c r="M43" s="28">
        <f t="shared" si="1"/>
        <v>214024</v>
      </c>
      <c r="N43" s="28">
        <f t="shared" si="5"/>
        <v>642072</v>
      </c>
      <c r="R43" s="82"/>
    </row>
    <row r="44" spans="2:18">
      <c r="B44" s="62"/>
      <c r="C44" s="28">
        <f t="shared" si="0"/>
        <v>8.7232876712328764</v>
      </c>
      <c r="D44" s="31">
        <v>4.049454094695875E-2</v>
      </c>
      <c r="E44" s="31">
        <f t="shared" si="2"/>
        <v>0.19029454094695875</v>
      </c>
      <c r="F44" s="29">
        <f t="shared" si="8"/>
        <v>300582.08417808218</v>
      </c>
      <c r="G44" s="31">
        <f t="shared" si="3"/>
        <v>0.70731393280627719</v>
      </c>
      <c r="H44" s="29">
        <f t="shared" si="9"/>
        <v>212605.89609110678</v>
      </c>
      <c r="I44" s="30">
        <f>WORKDAY(C78-1, 1, 'Market Inputs '!$B$23:$B$36)</f>
        <v>48841</v>
      </c>
      <c r="J44" s="28">
        <f t="shared" si="4"/>
        <v>47350.784178082176</v>
      </c>
      <c r="K44" s="28">
        <f t="shared" si="6"/>
        <v>39207.300000000003</v>
      </c>
      <c r="L44" s="28">
        <f t="shared" si="7"/>
        <v>78414.599999999831</v>
      </c>
      <c r="M44" s="28">
        <f t="shared" si="1"/>
        <v>214024</v>
      </c>
      <c r="N44" s="28">
        <f t="shared" si="5"/>
        <v>428048</v>
      </c>
      <c r="R44" s="82"/>
    </row>
    <row r="45" spans="2:18">
      <c r="B45" s="62"/>
      <c r="C45" s="28">
        <f t="shared" si="0"/>
        <v>9.2219178082191782</v>
      </c>
      <c r="D45" s="31">
        <v>4.0472180390458169E-2</v>
      </c>
      <c r="E45" s="31">
        <f t="shared" si="2"/>
        <v>0.19027218039045815</v>
      </c>
      <c r="F45" s="29">
        <f t="shared" si="8"/>
        <v>284798.48945205478</v>
      </c>
      <c r="G45" s="31">
        <f t="shared" si="3"/>
        <v>0.69358867993806805</v>
      </c>
      <c r="H45" s="29">
        <f t="shared" si="9"/>
        <v>197533.00834740649</v>
      </c>
      <c r="I45" s="30">
        <f>WORKDAY(C79-1, 1, 'Market Inputs '!$B$23:$B$36)</f>
        <v>49023</v>
      </c>
      <c r="J45" s="28">
        <f t="shared" si="4"/>
        <v>31567.189452054787</v>
      </c>
      <c r="K45" s="28">
        <f t="shared" si="6"/>
        <v>39207.300000000003</v>
      </c>
      <c r="L45" s="28">
        <f t="shared" si="7"/>
        <v>39207.299999999828</v>
      </c>
      <c r="M45" s="28">
        <f t="shared" si="1"/>
        <v>214024</v>
      </c>
      <c r="N45" s="28">
        <f t="shared" si="5"/>
        <v>214024</v>
      </c>
      <c r="R45" s="82"/>
    </row>
    <row r="46" spans="2:18">
      <c r="B46" s="62"/>
      <c r="C46" s="28">
        <f t="shared" si="0"/>
        <v>9.7205479452054799</v>
      </c>
      <c r="D46" s="31">
        <v>4.0452386551653972E-2</v>
      </c>
      <c r="E46" s="31">
        <f t="shared" si="2"/>
        <v>0.19025238655165397</v>
      </c>
      <c r="F46" s="29">
        <f t="shared" si="8"/>
        <v>269014.89472602739</v>
      </c>
      <c r="G46" s="31">
        <f t="shared" si="3"/>
        <v>0.68012803216025064</v>
      </c>
      <c r="H46" s="29">
        <f t="shared" si="9"/>
        <v>182964.57097181</v>
      </c>
      <c r="I46" s="30">
        <f>WORKDAY(C80-1, 1, 'Market Inputs '!$B$23:$B$36)</f>
        <v>49205</v>
      </c>
      <c r="J46" s="28">
        <f t="shared" si="4"/>
        <v>15783.594726027386</v>
      </c>
      <c r="K46" s="28">
        <f t="shared" si="6"/>
        <v>39207.300000000003</v>
      </c>
      <c r="L46" s="28">
        <f t="shared" si="7"/>
        <v>-1.7462298274040222E-10</v>
      </c>
      <c r="M46" s="28">
        <f t="shared" si="1"/>
        <v>214024</v>
      </c>
      <c r="N46" s="28">
        <f t="shared" si="5"/>
        <v>0</v>
      </c>
      <c r="R46" s="82"/>
    </row>
    <row r="47" spans="2:18">
      <c r="B47" s="62"/>
      <c r="C47" s="34"/>
      <c r="D47" s="34"/>
      <c r="E47" s="34"/>
      <c r="F47" s="39"/>
      <c r="G47" s="34"/>
      <c r="H47" s="39"/>
      <c r="I47" s="40"/>
      <c r="J47" s="34"/>
      <c r="K47" s="34"/>
      <c r="L47" s="34"/>
      <c r="M47" s="34"/>
      <c r="N47" s="34"/>
      <c r="R47" s="82"/>
    </row>
    <row r="48" spans="2:18">
      <c r="B48" s="62"/>
      <c r="C48" s="34"/>
      <c r="D48" s="34"/>
      <c r="E48" s="34"/>
      <c r="F48" s="39"/>
      <c r="G48" s="34"/>
      <c r="H48" s="39"/>
      <c r="I48" s="40"/>
      <c r="J48" s="34"/>
      <c r="K48" s="34"/>
      <c r="L48" s="34"/>
      <c r="M48" s="34"/>
      <c r="R48" s="82"/>
    </row>
    <row r="49" spans="2:18">
      <c r="B49" s="62"/>
      <c r="C49" s="16" t="s">
        <v>64</v>
      </c>
      <c r="D49" s="43">
        <f>SUM(H27:H46)</f>
        <v>6921210.5040453319</v>
      </c>
      <c r="I49" s="40"/>
      <c r="J49" s="34"/>
      <c r="K49" s="34"/>
      <c r="L49" s="34"/>
      <c r="M49" s="34"/>
      <c r="R49" s="82"/>
    </row>
    <row r="50" spans="2:18">
      <c r="B50" s="62"/>
      <c r="C50" s="16" t="s">
        <v>94</v>
      </c>
      <c r="D50" s="43">
        <f>D9+D13</f>
        <v>5064626</v>
      </c>
      <c r="I50" s="40"/>
      <c r="J50" s="34"/>
      <c r="K50" s="34"/>
      <c r="L50" s="34"/>
      <c r="M50" s="34"/>
      <c r="R50" s="82"/>
    </row>
    <row r="51" spans="2:18">
      <c r="B51" s="62"/>
      <c r="C51" s="16" t="s">
        <v>65</v>
      </c>
      <c r="D51" s="43">
        <f>D49-D50</f>
        <v>1856584.5040453319</v>
      </c>
      <c r="I51" s="40"/>
      <c r="R51" s="82"/>
    </row>
    <row r="52" spans="2:18">
      <c r="B52" s="62"/>
      <c r="D52" s="70"/>
      <c r="I52" s="40"/>
      <c r="R52" s="82"/>
    </row>
    <row r="53" spans="2:18">
      <c r="B53" s="62"/>
      <c r="H53" s="63"/>
      <c r="M53" s="64"/>
      <c r="R53" s="82"/>
    </row>
    <row r="54" spans="2:18">
      <c r="B54" s="62"/>
      <c r="C54" s="16"/>
      <c r="D54" s="41" t="s">
        <v>67</v>
      </c>
      <c r="E54" s="41" t="s">
        <v>95</v>
      </c>
      <c r="F54" s="42" t="s">
        <v>96</v>
      </c>
      <c r="G54" s="56"/>
      <c r="R54" s="82"/>
    </row>
    <row r="55" spans="2:18">
      <c r="B55" s="62"/>
      <c r="C55" s="16" t="s">
        <v>97</v>
      </c>
      <c r="D55" s="43">
        <f>D49</f>
        <v>6921210.5040453319</v>
      </c>
      <c r="E55" s="16">
        <f>'Market Inputs '!H8</f>
        <v>25.798500000000001</v>
      </c>
      <c r="F55" s="45">
        <f>D55*E55</f>
        <v>178556849.1886135</v>
      </c>
      <c r="R55" s="82"/>
    </row>
    <row r="56" spans="2:18">
      <c r="B56" s="62"/>
      <c r="C56" s="16" t="s">
        <v>98</v>
      </c>
      <c r="D56" s="43">
        <f>D50</f>
        <v>5064626</v>
      </c>
      <c r="E56" s="16">
        <f>'Market Inputs '!H8</f>
        <v>25.798500000000001</v>
      </c>
      <c r="F56" s="45">
        <f>D56*E56</f>
        <v>130659753.861</v>
      </c>
      <c r="R56" s="82"/>
    </row>
    <row r="57" spans="2:18">
      <c r="B57" s="62"/>
      <c r="C57" s="16"/>
      <c r="D57" s="16"/>
      <c r="E57" s="16"/>
      <c r="F57" s="45">
        <f>F55-F56</f>
        <v>47897095.327613503</v>
      </c>
      <c r="R57" s="82"/>
    </row>
    <row r="58" spans="2:18">
      <c r="B58" s="62"/>
      <c r="G58" s="72"/>
      <c r="R58" s="82"/>
    </row>
    <row r="59" spans="2:18">
      <c r="B59" s="62"/>
      <c r="G59" s="73"/>
      <c r="R59" s="82"/>
    </row>
    <row r="60" spans="2:18">
      <c r="B60" s="62"/>
      <c r="C60" s="17" t="s">
        <v>99</v>
      </c>
      <c r="R60" s="82"/>
    </row>
    <row r="61" spans="2:18">
      <c r="B61" s="62"/>
      <c r="C61" s="18">
        <f t="shared" ref="C61:C79" si="10">C62-365/2</f>
        <v>45737.5</v>
      </c>
      <c r="R61" s="82"/>
    </row>
    <row r="62" spans="2:18">
      <c r="B62" s="62"/>
      <c r="C62" s="18">
        <f t="shared" si="10"/>
        <v>45920</v>
      </c>
      <c r="R62" s="82"/>
    </row>
    <row r="63" spans="2:18">
      <c r="B63" s="62"/>
      <c r="C63" s="18">
        <f t="shared" si="10"/>
        <v>46102.5</v>
      </c>
      <c r="R63" s="82"/>
    </row>
    <row r="64" spans="2:18">
      <c r="B64" s="62"/>
      <c r="C64" s="18">
        <f t="shared" si="10"/>
        <v>46285</v>
      </c>
      <c r="R64" s="82"/>
    </row>
    <row r="65" spans="2:18">
      <c r="B65" s="62"/>
      <c r="C65" s="18">
        <f t="shared" si="10"/>
        <v>46467.5</v>
      </c>
      <c r="R65" s="82"/>
    </row>
    <row r="66" spans="2:18">
      <c r="B66" s="62"/>
      <c r="C66" s="18">
        <f t="shared" si="10"/>
        <v>46650</v>
      </c>
      <c r="R66" s="82"/>
    </row>
    <row r="67" spans="2:18">
      <c r="B67" s="62"/>
      <c r="C67" s="18">
        <f t="shared" si="10"/>
        <v>46832.5</v>
      </c>
      <c r="R67" s="82"/>
    </row>
    <row r="68" spans="2:18">
      <c r="B68" s="62"/>
      <c r="C68" s="18">
        <f t="shared" si="10"/>
        <v>47015</v>
      </c>
      <c r="R68" s="82"/>
    </row>
    <row r="69" spans="2:18">
      <c r="B69" s="62"/>
      <c r="C69" s="18">
        <f t="shared" si="10"/>
        <v>47197.5</v>
      </c>
      <c r="R69" s="82"/>
    </row>
    <row r="70" spans="2:18">
      <c r="B70" s="62"/>
      <c r="C70" s="18">
        <f t="shared" si="10"/>
        <v>47380</v>
      </c>
      <c r="R70" s="82"/>
    </row>
    <row r="71" spans="2:18">
      <c r="B71" s="62"/>
      <c r="C71" s="18">
        <f t="shared" si="10"/>
        <v>47562.5</v>
      </c>
      <c r="R71" s="82"/>
    </row>
    <row r="72" spans="2:18">
      <c r="B72" s="62"/>
      <c r="C72" s="18">
        <f t="shared" si="10"/>
        <v>47745</v>
      </c>
      <c r="R72" s="82"/>
    </row>
    <row r="73" spans="2:18">
      <c r="B73" s="62"/>
      <c r="C73" s="18">
        <f t="shared" si="10"/>
        <v>47927.5</v>
      </c>
      <c r="R73" s="82"/>
    </row>
    <row r="74" spans="2:18">
      <c r="B74" s="62"/>
      <c r="C74" s="18">
        <f t="shared" si="10"/>
        <v>48110</v>
      </c>
      <c r="R74" s="82"/>
    </row>
    <row r="75" spans="2:18">
      <c r="B75" s="62"/>
      <c r="C75" s="18">
        <f t="shared" si="10"/>
        <v>48292.5</v>
      </c>
      <c r="R75" s="82"/>
    </row>
    <row r="76" spans="2:18">
      <c r="B76" s="62"/>
      <c r="C76" s="18">
        <f t="shared" si="10"/>
        <v>48475</v>
      </c>
      <c r="R76" s="82"/>
    </row>
    <row r="77" spans="2:18">
      <c r="B77" s="62"/>
      <c r="C77" s="18">
        <f t="shared" si="10"/>
        <v>48657.5</v>
      </c>
      <c r="R77" s="82"/>
    </row>
    <row r="78" spans="2:18">
      <c r="B78" s="62"/>
      <c r="C78" s="18">
        <f t="shared" si="10"/>
        <v>48840</v>
      </c>
      <c r="R78" s="82"/>
    </row>
    <row r="79" spans="2:18">
      <c r="B79" s="62"/>
      <c r="C79" s="18">
        <f t="shared" si="10"/>
        <v>49022.5</v>
      </c>
      <c r="R79" s="82"/>
    </row>
    <row r="80" spans="2:18">
      <c r="B80" s="62"/>
      <c r="C80" s="18">
        <f>D14</f>
        <v>49205</v>
      </c>
      <c r="R80" s="82"/>
    </row>
    <row r="81" spans="2:18">
      <c r="B81" s="62"/>
      <c r="R81" s="82"/>
    </row>
    <row r="82" spans="2:18">
      <c r="B82" s="62"/>
      <c r="R82" s="82"/>
    </row>
    <row r="83" spans="2:18" ht="14.45" thickBot="1">
      <c r="B83" s="84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85"/>
    </row>
    <row r="84" spans="2:18" ht="14.45" thickTop="1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E4EB-E7BA-45BD-A373-C477CE10A5A2}">
  <sheetPr codeName="Sheet7"/>
  <dimension ref="B4:R46"/>
  <sheetViews>
    <sheetView showGridLines="0" topLeftCell="A15" zoomScale="74" zoomScaleNormal="86" workbookViewId="0">
      <selection activeCell="F15" sqref="F15"/>
    </sheetView>
  </sheetViews>
  <sheetFormatPr defaultColWidth="8.75" defaultRowHeight="13.9"/>
  <cols>
    <col min="1" max="2" width="8.75" style="38"/>
    <col min="3" max="3" width="22.5" style="38" bestFit="1" customWidth="1"/>
    <col min="4" max="4" width="14.75" style="38" bestFit="1" customWidth="1"/>
    <col min="5" max="5" width="13" style="38" customWidth="1"/>
    <col min="6" max="6" width="14.75" style="38" bestFit="1" customWidth="1"/>
    <col min="7" max="7" width="11.75" style="38" bestFit="1" customWidth="1"/>
    <col min="8" max="8" width="14.25" style="38" bestFit="1" customWidth="1"/>
    <col min="9" max="9" width="13.25" style="38" bestFit="1" customWidth="1"/>
    <col min="10" max="11" width="11.75" style="38" bestFit="1" customWidth="1"/>
    <col min="12" max="12" width="11.75" style="38" customWidth="1"/>
    <col min="13" max="14" width="13.75" style="38" bestFit="1" customWidth="1"/>
    <col min="15" max="15" width="9.25" style="38" bestFit="1" customWidth="1"/>
    <col min="16" max="16" width="13.5" style="38" customWidth="1"/>
    <col min="17" max="16384" width="8.75" style="38"/>
  </cols>
  <sheetData>
    <row r="4" spans="2:18" ht="14.45" thickBot="1">
      <c r="F4" s="63"/>
    </row>
    <row r="5" spans="2:18" ht="14.45" thickTop="1">
      <c r="B5" s="49"/>
      <c r="C5" s="50"/>
      <c r="D5" s="50"/>
      <c r="E5" s="50"/>
      <c r="F5" s="51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81"/>
    </row>
    <row r="6" spans="2:18">
      <c r="B6" s="62"/>
      <c r="C6" s="16" t="s">
        <v>55</v>
      </c>
      <c r="D6" s="74" t="s">
        <v>111</v>
      </c>
      <c r="R6" s="82"/>
    </row>
    <row r="7" spans="2:18">
      <c r="B7" s="62"/>
      <c r="C7" s="16" t="s">
        <v>70</v>
      </c>
      <c r="D7" s="75">
        <v>45657</v>
      </c>
      <c r="R7" s="82"/>
    </row>
    <row r="8" spans="2:18">
      <c r="B8" s="62"/>
      <c r="C8" s="16" t="s">
        <v>71</v>
      </c>
      <c r="D8" s="77">
        <v>2900000.0000227918</v>
      </c>
      <c r="R8" s="82"/>
    </row>
    <row r="9" spans="2:18">
      <c r="B9" s="62"/>
      <c r="C9" s="16" t="s">
        <v>57</v>
      </c>
      <c r="D9" s="74" t="s">
        <v>66</v>
      </c>
      <c r="H9" s="71"/>
      <c r="I9" s="71"/>
      <c r="J9" s="71"/>
      <c r="R9" s="82"/>
    </row>
    <row r="10" spans="2:18">
      <c r="B10" s="62"/>
      <c r="C10" s="16" t="s">
        <v>72</v>
      </c>
      <c r="D10" s="78">
        <v>7.0000000000000007E-2</v>
      </c>
      <c r="H10" s="71"/>
      <c r="I10" s="71"/>
      <c r="J10" s="71"/>
      <c r="R10" s="82"/>
    </row>
    <row r="11" spans="2:18">
      <c r="B11" s="62"/>
      <c r="C11" s="16" t="s">
        <v>73</v>
      </c>
      <c r="D11" s="79" t="s">
        <v>112</v>
      </c>
      <c r="H11" s="90"/>
      <c r="I11" s="106"/>
      <c r="J11" s="61"/>
      <c r="R11" s="82"/>
    </row>
    <row r="12" spans="2:18">
      <c r="B12" s="62"/>
      <c r="C12" s="16" t="s">
        <v>113</v>
      </c>
      <c r="D12" s="103">
        <v>679327.9456148732</v>
      </c>
      <c r="E12" s="38" t="s">
        <v>76</v>
      </c>
      <c r="F12" s="35"/>
      <c r="H12" s="87"/>
      <c r="J12" s="61"/>
      <c r="R12" s="82"/>
    </row>
    <row r="13" spans="2:18">
      <c r="B13" s="62"/>
      <c r="C13" s="16" t="s">
        <v>59</v>
      </c>
      <c r="D13" s="75">
        <f>D14+(365*5)</f>
        <v>45938</v>
      </c>
      <c r="F13" s="35"/>
      <c r="H13" s="88"/>
      <c r="J13" s="61"/>
      <c r="R13" s="82"/>
    </row>
    <row r="14" spans="2:18">
      <c r="B14" s="62"/>
      <c r="C14" s="16" t="s">
        <v>58</v>
      </c>
      <c r="D14" s="75">
        <v>44113</v>
      </c>
      <c r="F14" s="34"/>
      <c r="H14" s="88"/>
      <c r="J14" s="61"/>
      <c r="R14" s="82"/>
    </row>
    <row r="15" spans="2:18">
      <c r="B15" s="62"/>
      <c r="C15" s="16" t="s">
        <v>77</v>
      </c>
      <c r="D15" s="75">
        <f>C37</f>
        <v>45938</v>
      </c>
      <c r="E15" s="59"/>
      <c r="F15" s="59"/>
      <c r="R15" s="82"/>
    </row>
    <row r="16" spans="2:18">
      <c r="B16" s="62"/>
      <c r="C16" s="16" t="s">
        <v>70</v>
      </c>
      <c r="D16" s="75">
        <f>D7</f>
        <v>45657</v>
      </c>
      <c r="E16" s="40"/>
      <c r="F16" s="40"/>
      <c r="G16" s="40"/>
      <c r="H16" s="40"/>
      <c r="I16" s="40"/>
      <c r="J16" s="34"/>
      <c r="R16" s="82"/>
    </row>
    <row r="17" spans="2:18">
      <c r="B17" s="62"/>
      <c r="C17" s="16" t="s">
        <v>78</v>
      </c>
      <c r="D17" s="78">
        <f>'Market Inputs '!H5</f>
        <v>2.9600000000000001E-2</v>
      </c>
      <c r="E17" s="40" t="s">
        <v>79</v>
      </c>
      <c r="H17" s="59"/>
      <c r="I17" s="34"/>
      <c r="J17" s="59"/>
      <c r="R17" s="82"/>
    </row>
    <row r="18" spans="2:18">
      <c r="B18" s="62"/>
      <c r="C18" s="16" t="s">
        <v>80</v>
      </c>
      <c r="D18" s="78">
        <f>'Market Inputs '!H9</f>
        <v>0.1202</v>
      </c>
      <c r="E18" s="40" t="s">
        <v>81</v>
      </c>
      <c r="F18" s="40"/>
      <c r="G18" s="40"/>
      <c r="H18" s="40"/>
      <c r="I18" s="40"/>
      <c r="J18" s="36"/>
      <c r="R18" s="82"/>
    </row>
    <row r="19" spans="2:18">
      <c r="B19" s="62"/>
      <c r="D19" s="92"/>
      <c r="E19" s="40"/>
      <c r="F19" s="40"/>
      <c r="G19" s="40"/>
      <c r="H19" s="40"/>
      <c r="I19" s="40"/>
      <c r="J19" s="36"/>
      <c r="R19" s="82"/>
    </row>
    <row r="20" spans="2:18">
      <c r="B20" s="62"/>
      <c r="R20" s="82"/>
    </row>
    <row r="21" spans="2:18">
      <c r="B21" s="62"/>
      <c r="C21" s="98" t="s">
        <v>83</v>
      </c>
      <c r="D21" s="98" t="s">
        <v>84</v>
      </c>
      <c r="E21" s="98" t="s">
        <v>85</v>
      </c>
      <c r="F21" s="98" t="s">
        <v>86</v>
      </c>
      <c r="G21" s="98" t="s">
        <v>87</v>
      </c>
      <c r="H21" s="98" t="s">
        <v>88</v>
      </c>
      <c r="I21" s="98" t="s">
        <v>82</v>
      </c>
      <c r="J21" s="98" t="s">
        <v>90</v>
      </c>
      <c r="K21" s="98" t="s">
        <v>114</v>
      </c>
      <c r="L21" s="98" t="s">
        <v>92</v>
      </c>
      <c r="M21" s="98" t="s">
        <v>71</v>
      </c>
      <c r="N21" s="99" t="s">
        <v>93</v>
      </c>
      <c r="O21" s="98" t="s">
        <v>115</v>
      </c>
      <c r="P21" s="98" t="s">
        <v>116</v>
      </c>
      <c r="R21" s="82"/>
    </row>
    <row r="22" spans="2:18">
      <c r="B22" s="62"/>
      <c r="C22" s="104">
        <f>I22-D16</f>
        <v>0</v>
      </c>
      <c r="D22" s="31"/>
      <c r="E22" s="105"/>
      <c r="F22" s="29"/>
      <c r="G22" s="28"/>
      <c r="H22" s="29"/>
      <c r="I22" s="30">
        <f>D16</f>
        <v>45657</v>
      </c>
      <c r="J22" s="28"/>
      <c r="K22" s="28"/>
      <c r="L22" s="28">
        <f>D12</f>
        <v>679327.9456148732</v>
      </c>
      <c r="M22" s="28"/>
      <c r="N22" s="28">
        <f>D8+P22</f>
        <v>3006969.441540489</v>
      </c>
      <c r="O22" s="16"/>
      <c r="P22" s="126">
        <v>106969.44151769708</v>
      </c>
      <c r="R22" s="82"/>
    </row>
    <row r="23" spans="2:18">
      <c r="B23" s="62"/>
      <c r="C23" s="107">
        <f>(I23-D16)/365</f>
        <v>0.76986301369863008</v>
      </c>
      <c r="D23" s="31">
        <v>4.163587055650942E-2</v>
      </c>
      <c r="E23" s="105">
        <f>$D$18+$D$17+D23</f>
        <v>0.1914358705565094</v>
      </c>
      <c r="F23" s="29">
        <f>SUM(J23,K23,M23)</f>
        <v>3884953.468265899</v>
      </c>
      <c r="G23" s="31">
        <f>1/(1+E23)^(C23)</f>
        <v>0.87384821565201587</v>
      </c>
      <c r="H23" s="29">
        <f>F23*G23</f>
        <v>3394859.6561352662</v>
      </c>
      <c r="I23" s="30">
        <f>WORKDAY(D15-1, 1, 'Market Inputs '!$B$23:$B$36)</f>
        <v>45938</v>
      </c>
      <c r="J23" s="28">
        <f>(I23-I22)/365*$D$10*(N22+L22)</f>
        <v>198656.08111053694</v>
      </c>
      <c r="K23" s="28">
        <f>$D$12/1</f>
        <v>679327.9456148732</v>
      </c>
      <c r="L23" s="28">
        <f>L22-K23</f>
        <v>0</v>
      </c>
      <c r="M23" s="28">
        <f>N22/1</f>
        <v>3006969.441540489</v>
      </c>
      <c r="N23" s="28">
        <f>N22-M23</f>
        <v>0</v>
      </c>
      <c r="O23" s="45">
        <f>N22-M23</f>
        <v>0</v>
      </c>
      <c r="P23" s="126"/>
      <c r="R23" s="82"/>
    </row>
    <row r="24" spans="2:18">
      <c r="B24" s="62"/>
      <c r="C24" s="58"/>
      <c r="D24" s="46"/>
      <c r="E24" s="102"/>
      <c r="F24" s="39"/>
      <c r="G24" s="46"/>
      <c r="H24" s="39"/>
      <c r="I24" s="40"/>
      <c r="J24" s="34"/>
      <c r="K24" s="34"/>
      <c r="L24" s="34"/>
      <c r="M24" s="34"/>
      <c r="N24" s="34"/>
      <c r="O24" s="72"/>
      <c r="P24" s="112"/>
      <c r="R24" s="82"/>
    </row>
    <row r="25" spans="2:18">
      <c r="B25" s="62"/>
      <c r="C25" s="40"/>
      <c r="D25" s="40"/>
      <c r="E25" s="40"/>
      <c r="F25" s="39"/>
      <c r="G25" s="34"/>
      <c r="H25" s="39"/>
      <c r="I25" s="40"/>
      <c r="J25" s="34"/>
      <c r="K25" s="34"/>
      <c r="L25" s="34"/>
      <c r="M25" s="34"/>
      <c r="N25" s="34"/>
      <c r="O25" s="72"/>
      <c r="R25" s="82"/>
    </row>
    <row r="26" spans="2:18">
      <c r="B26" s="62"/>
      <c r="C26" s="86" t="s">
        <v>64</v>
      </c>
      <c r="D26" s="108">
        <f>SUM(H23)</f>
        <v>3394859.6561352662</v>
      </c>
      <c r="I26" s="40"/>
      <c r="J26" s="34"/>
      <c r="K26" s="34"/>
      <c r="L26" s="34"/>
      <c r="M26" s="34"/>
      <c r="N26" s="34"/>
      <c r="R26" s="82"/>
    </row>
    <row r="27" spans="2:18">
      <c r="B27" s="62"/>
      <c r="C27" s="86" t="s">
        <v>94</v>
      </c>
      <c r="D27" s="108">
        <f>D8+D12+P22</f>
        <v>3686297.3871553619</v>
      </c>
      <c r="R27" s="82"/>
    </row>
    <row r="28" spans="2:18">
      <c r="B28" s="62"/>
      <c r="C28" s="86" t="s">
        <v>65</v>
      </c>
      <c r="D28" s="108">
        <f>D26-D27</f>
        <v>-291437.73102009576</v>
      </c>
      <c r="R28" s="82"/>
    </row>
    <row r="29" spans="2:18">
      <c r="B29" s="62"/>
      <c r="H29" s="63"/>
      <c r="R29" s="82"/>
    </row>
    <row r="30" spans="2:18">
      <c r="B30" s="62"/>
      <c r="C30" s="86"/>
      <c r="D30" s="16"/>
      <c r="E30" s="16"/>
      <c r="F30" s="41" t="s">
        <v>67</v>
      </c>
      <c r="G30" s="41" t="str">
        <f>[1]Centragrid!C46</f>
        <v>Exch rate</v>
      </c>
      <c r="H30" s="42" t="s">
        <v>96</v>
      </c>
      <c r="R30" s="82"/>
    </row>
    <row r="31" spans="2:18">
      <c r="B31" s="62"/>
      <c r="C31" s="86" t="s">
        <v>97</v>
      </c>
      <c r="D31" s="16"/>
      <c r="E31" s="16"/>
      <c r="F31" s="43">
        <f>D26</f>
        <v>3394859.6561352662</v>
      </c>
      <c r="G31" s="109">
        <f>'Market Inputs '!H8</f>
        <v>25.798500000000001</v>
      </c>
      <c r="H31" s="110">
        <f>F31*G31</f>
        <v>87582286.838805661</v>
      </c>
      <c r="R31" s="82"/>
    </row>
    <row r="32" spans="2:18">
      <c r="B32" s="62"/>
      <c r="C32" s="86" t="s">
        <v>98</v>
      </c>
      <c r="D32" s="16"/>
      <c r="E32" s="16"/>
      <c r="F32" s="43">
        <f>D27</f>
        <v>3686297.3871553619</v>
      </c>
      <c r="G32" s="109">
        <f>'Market Inputs '!H8</f>
        <v>25.798500000000001</v>
      </c>
      <c r="H32" s="110">
        <f>F32*G32</f>
        <v>95100943.14252761</v>
      </c>
      <c r="R32" s="82"/>
    </row>
    <row r="33" spans="2:18">
      <c r="B33" s="62"/>
      <c r="C33" s="86" t="s">
        <v>117</v>
      </c>
      <c r="D33" s="16"/>
      <c r="E33" s="16"/>
      <c r="F33" s="16"/>
      <c r="G33" s="16"/>
      <c r="H33" s="110">
        <f>H31-H32</f>
        <v>-7518656.3037219495</v>
      </c>
      <c r="R33" s="82"/>
    </row>
    <row r="34" spans="2:18">
      <c r="B34" s="62"/>
      <c r="R34" s="82"/>
    </row>
    <row r="35" spans="2:18">
      <c r="B35" s="62"/>
      <c r="R35" s="82"/>
    </row>
    <row r="36" spans="2:18">
      <c r="B36" s="62"/>
      <c r="C36" s="26" t="s">
        <v>99</v>
      </c>
      <c r="R36" s="82"/>
    </row>
    <row r="37" spans="2:18">
      <c r="B37" s="62"/>
      <c r="C37" s="30">
        <f>D13</f>
        <v>45938</v>
      </c>
      <c r="R37" s="82"/>
    </row>
    <row r="38" spans="2:18">
      <c r="B38" s="62"/>
      <c r="R38" s="82"/>
    </row>
    <row r="39" spans="2:18">
      <c r="B39" s="62"/>
      <c r="R39" s="82"/>
    </row>
    <row r="40" spans="2:18">
      <c r="B40" s="62"/>
      <c r="C40" s="54" t="s">
        <v>118</v>
      </c>
      <c r="R40" s="82"/>
    </row>
    <row r="41" spans="2:18">
      <c r="B41" s="62"/>
      <c r="C41" s="38" t="s">
        <v>119</v>
      </c>
      <c r="R41" s="82"/>
    </row>
    <row r="42" spans="2:18">
      <c r="B42" s="62"/>
      <c r="C42" s="38" t="s">
        <v>120</v>
      </c>
      <c r="R42" s="82"/>
    </row>
    <row r="43" spans="2:18">
      <c r="B43" s="62"/>
      <c r="R43" s="82"/>
    </row>
    <row r="44" spans="2:18">
      <c r="B44" s="62"/>
      <c r="R44" s="82"/>
    </row>
    <row r="45" spans="2:18" ht="14.45" thickBot="1">
      <c r="B45" s="84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85"/>
    </row>
    <row r="46" spans="2:18" ht="14.45" thickTop="1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E491-2B02-44A5-9D7F-47F5A87D9650}">
  <sheetPr codeName="Sheet8"/>
  <dimension ref="B3:Q44"/>
  <sheetViews>
    <sheetView showGridLines="0" topLeftCell="E13" zoomScale="115" zoomScaleNormal="100" workbookViewId="0">
      <selection activeCell="L20" sqref="L20"/>
    </sheetView>
  </sheetViews>
  <sheetFormatPr defaultColWidth="8.75" defaultRowHeight="13.9"/>
  <cols>
    <col min="1" max="2" width="8.75" style="38"/>
    <col min="3" max="3" width="36.75" style="38" bestFit="1" customWidth="1"/>
    <col min="4" max="4" width="16.25" style="38" bestFit="1" customWidth="1"/>
    <col min="5" max="5" width="10.25" style="38" bestFit="1" customWidth="1"/>
    <col min="6" max="6" width="14.75" style="38" bestFit="1" customWidth="1"/>
    <col min="7" max="7" width="11.25" style="38" bestFit="1" customWidth="1"/>
    <col min="8" max="8" width="15.75" style="38" customWidth="1"/>
    <col min="9" max="9" width="13.75" style="38" bestFit="1" customWidth="1"/>
    <col min="10" max="10" width="12.25" style="38" bestFit="1" customWidth="1"/>
    <col min="11" max="11" width="16" style="38" bestFit="1" customWidth="1"/>
    <col min="12" max="12" width="16" style="38" customWidth="1"/>
    <col min="13" max="14" width="12.875" style="38" bestFit="1" customWidth="1"/>
    <col min="15" max="16384" width="8.75" style="38"/>
  </cols>
  <sheetData>
    <row r="3" spans="2:17">
      <c r="F3" s="63"/>
    </row>
    <row r="4" spans="2:17" ht="14.45" thickBot="1">
      <c r="F4" s="63"/>
    </row>
    <row r="5" spans="2:17" ht="14.45" thickTop="1">
      <c r="B5" s="49"/>
      <c r="C5" s="50"/>
      <c r="D5" s="50"/>
      <c r="E5" s="50"/>
      <c r="F5" s="51"/>
      <c r="G5" s="50"/>
      <c r="H5" s="50"/>
      <c r="I5" s="50"/>
      <c r="J5" s="50"/>
      <c r="K5" s="50"/>
      <c r="L5" s="50"/>
      <c r="M5" s="50"/>
      <c r="N5" s="50"/>
      <c r="O5" s="50"/>
      <c r="P5" s="50"/>
      <c r="Q5" s="81"/>
    </row>
    <row r="6" spans="2:17">
      <c r="B6" s="62"/>
      <c r="C6" s="16" t="s">
        <v>55</v>
      </c>
      <c r="D6" s="116" t="s">
        <v>121</v>
      </c>
      <c r="Q6" s="82"/>
    </row>
    <row r="7" spans="2:17">
      <c r="B7" s="62"/>
      <c r="C7" s="16" t="s">
        <v>71</v>
      </c>
      <c r="D7" s="120">
        <v>5000000.1399999997</v>
      </c>
      <c r="I7" s="32"/>
      <c r="Q7" s="82"/>
    </row>
    <row r="8" spans="2:17">
      <c r="B8" s="62"/>
      <c r="C8" s="16" t="s">
        <v>57</v>
      </c>
      <c r="D8" s="116" t="s">
        <v>66</v>
      </c>
      <c r="Q8" s="82"/>
    </row>
    <row r="9" spans="2:17">
      <c r="B9" s="62"/>
      <c r="C9" s="16" t="s">
        <v>72</v>
      </c>
      <c r="D9" s="121">
        <v>7.4999999999999997E-2</v>
      </c>
      <c r="H9" s="54"/>
      <c r="I9" s="33"/>
      <c r="J9" s="54"/>
      <c r="Q9" s="82"/>
    </row>
    <row r="10" spans="2:17">
      <c r="B10" s="62"/>
      <c r="C10" s="16" t="s">
        <v>73</v>
      </c>
      <c r="D10" s="122" t="s">
        <v>74</v>
      </c>
      <c r="G10" s="113"/>
      <c r="H10" s="59"/>
      <c r="I10" s="34"/>
      <c r="J10" s="59"/>
      <c r="Q10" s="82"/>
    </row>
    <row r="11" spans="2:17">
      <c r="B11" s="62"/>
      <c r="C11" s="16" t="s">
        <v>122</v>
      </c>
      <c r="D11" s="123">
        <v>2090916.64</v>
      </c>
      <c r="E11" s="38" t="s">
        <v>76</v>
      </c>
      <c r="F11" s="35"/>
      <c r="G11" s="60"/>
      <c r="H11" s="59"/>
      <c r="I11" s="34"/>
      <c r="J11" s="59"/>
      <c r="Q11" s="82"/>
    </row>
    <row r="12" spans="2:17">
      <c r="B12" s="62"/>
      <c r="C12" s="16" t="s">
        <v>59</v>
      </c>
      <c r="D12" s="119">
        <f>D13+365*7</f>
        <v>46156</v>
      </c>
      <c r="F12" s="34"/>
      <c r="G12" s="54"/>
      <c r="H12" s="59"/>
      <c r="I12" s="34"/>
      <c r="J12" s="59"/>
      <c r="Q12" s="82"/>
    </row>
    <row r="13" spans="2:17">
      <c r="B13" s="62"/>
      <c r="C13" s="16" t="s">
        <v>58</v>
      </c>
      <c r="D13" s="119">
        <v>43601</v>
      </c>
      <c r="E13" s="89"/>
      <c r="F13" s="59"/>
      <c r="G13" s="59"/>
      <c r="H13" s="59"/>
      <c r="I13" s="59"/>
      <c r="J13" s="59"/>
      <c r="Q13" s="82"/>
    </row>
    <row r="14" spans="2:17">
      <c r="B14" s="62"/>
      <c r="C14" s="16" t="s">
        <v>77</v>
      </c>
      <c r="D14" s="119">
        <f>I21</f>
        <v>45791</v>
      </c>
      <c r="E14" s="40"/>
      <c r="F14" s="40"/>
      <c r="G14" s="40"/>
      <c r="H14" s="40"/>
      <c r="I14" s="40"/>
      <c r="J14" s="34"/>
      <c r="Q14" s="82"/>
    </row>
    <row r="15" spans="2:17">
      <c r="B15" s="62"/>
      <c r="C15" s="16" t="s">
        <v>70</v>
      </c>
      <c r="D15" s="119">
        <v>45657</v>
      </c>
      <c r="H15" s="59"/>
      <c r="I15" s="34"/>
      <c r="J15" s="59"/>
      <c r="Q15" s="82"/>
    </row>
    <row r="16" spans="2:17">
      <c r="B16" s="62"/>
      <c r="C16" s="16" t="s">
        <v>78</v>
      </c>
      <c r="D16" s="121">
        <f>'Market Inputs '!H5</f>
        <v>2.9600000000000001E-2</v>
      </c>
      <c r="E16" s="40" t="s">
        <v>79</v>
      </c>
      <c r="H16" s="59"/>
      <c r="I16" s="34"/>
      <c r="J16" s="59"/>
      <c r="Q16" s="82"/>
    </row>
    <row r="17" spans="2:17">
      <c r="B17" s="62"/>
      <c r="C17" s="16" t="s">
        <v>80</v>
      </c>
      <c r="D17" s="121">
        <f>'Market Inputs '!H9</f>
        <v>0.1202</v>
      </c>
      <c r="E17" s="40" t="s">
        <v>81</v>
      </c>
      <c r="H17" s="59"/>
      <c r="I17" s="34"/>
      <c r="J17" s="59"/>
      <c r="Q17" s="82"/>
    </row>
    <row r="18" spans="2:17">
      <c r="B18" s="62"/>
      <c r="C18" s="16"/>
      <c r="Q18" s="82"/>
    </row>
    <row r="19" spans="2:17">
      <c r="B19" s="62"/>
      <c r="C19" s="96" t="s">
        <v>83</v>
      </c>
      <c r="D19" s="117" t="s">
        <v>84</v>
      </c>
      <c r="E19" s="96" t="s">
        <v>85</v>
      </c>
      <c r="F19" s="96" t="s">
        <v>86</v>
      </c>
      <c r="G19" s="96" t="s">
        <v>87</v>
      </c>
      <c r="H19" s="149" t="s">
        <v>88</v>
      </c>
      <c r="I19" s="150" t="s">
        <v>82</v>
      </c>
      <c r="J19" s="117" t="s">
        <v>90</v>
      </c>
      <c r="K19" s="96" t="s">
        <v>101</v>
      </c>
      <c r="L19" s="96" t="s">
        <v>101</v>
      </c>
      <c r="M19" s="96" t="s">
        <v>71</v>
      </c>
      <c r="N19" s="97" t="s">
        <v>93</v>
      </c>
      <c r="Q19" s="82"/>
    </row>
    <row r="20" spans="2:17">
      <c r="B20" s="62"/>
      <c r="C20" s="28">
        <f t="shared" ref="C20" si="0">(I20-$D$15)/365</f>
        <v>0</v>
      </c>
      <c r="D20" s="115"/>
      <c r="E20" s="28"/>
      <c r="F20" s="29"/>
      <c r="G20" s="28"/>
      <c r="H20" s="29"/>
      <c r="I20" s="30">
        <f>D15</f>
        <v>45657</v>
      </c>
      <c r="J20" s="28"/>
      <c r="K20" s="28"/>
      <c r="L20" s="28">
        <f>D11</f>
        <v>2090916.64</v>
      </c>
      <c r="M20" s="28"/>
      <c r="N20" s="28">
        <f>D7</f>
        <v>5000000.1399999997</v>
      </c>
      <c r="Q20" s="82"/>
    </row>
    <row r="21" spans="2:17">
      <c r="B21" s="62"/>
      <c r="C21" s="28">
        <f>(I21-$D$15)/365</f>
        <v>0.36712328767123287</v>
      </c>
      <c r="D21" s="101">
        <v>4.1768373929721825E-2</v>
      </c>
      <c r="E21" s="31">
        <f>$D$17+$D$16+D21</f>
        <v>0.19156837392972181</v>
      </c>
      <c r="F21" s="29">
        <f>SUM(J21,K21,M21)</f>
        <v>2558881.97773242</v>
      </c>
      <c r="G21" s="31">
        <f>1/(1+E21)^(C21)</f>
        <v>0.93768065060513239</v>
      </c>
      <c r="H21" s="29">
        <f>F21*G21</f>
        <v>2399414.1177018834</v>
      </c>
      <c r="I21" s="30">
        <f>WORKDAY(C38-1, 1, 'Market Inputs '!$B$23:$B$36)</f>
        <v>45791</v>
      </c>
      <c r="J21" s="28">
        <f>(I21-I20)/365*$D$9*(N20+L20)</f>
        <v>195243.05106575339</v>
      </c>
      <c r="K21" s="28">
        <f>$D$11/3</f>
        <v>696972.21333333326</v>
      </c>
      <c r="L21" s="28">
        <f>L20-K21</f>
        <v>1393944.4266666668</v>
      </c>
      <c r="M21" s="28">
        <f>$N$20/3</f>
        <v>1666666.7133333331</v>
      </c>
      <c r="N21" s="28">
        <f>N20-M21</f>
        <v>3333333.4266666668</v>
      </c>
      <c r="Q21" s="82"/>
    </row>
    <row r="22" spans="2:17">
      <c r="B22" s="62"/>
      <c r="C22" s="28">
        <f>(I22-$D$15)/365</f>
        <v>0.86575342465753424</v>
      </c>
      <c r="D22" s="101">
        <v>4.160604771750144E-2</v>
      </c>
      <c r="E22" s="31">
        <f t="shared" ref="E22:E23" si="1">$D$17+$D$16+D22</f>
        <v>0.19140604771750142</v>
      </c>
      <c r="F22" s="29">
        <f>SUM(J22,K22,M22)</f>
        <v>2540426.1669351598</v>
      </c>
      <c r="G22" s="31">
        <f t="shared" ref="G22:G23" si="2">1/(1+E22)^(C22)</f>
        <v>0.85931217966687601</v>
      </c>
      <c r="H22" s="29">
        <f>F22*G22</f>
        <v>2183019.146791819</v>
      </c>
      <c r="I22" s="30">
        <f>WORKDAY(C39-1, 1, 'Market Inputs '!$B$23:$B$36)</f>
        <v>45973</v>
      </c>
      <c r="J22" s="28">
        <f>(I22-I21)/365*$D$9*(N21+L21)</f>
        <v>176787.24026849316</v>
      </c>
      <c r="K22" s="28">
        <f t="shared" ref="K22" si="3">$D$11/3</f>
        <v>696972.21333333326</v>
      </c>
      <c r="L22" s="28">
        <f t="shared" ref="L22:L23" si="4">L21-K22</f>
        <v>696972.21333333349</v>
      </c>
      <c r="M22" s="28">
        <f>$N$20/3</f>
        <v>1666666.7133333331</v>
      </c>
      <c r="N22" s="28">
        <f>N21-M22</f>
        <v>1666666.7133333336</v>
      </c>
      <c r="Q22" s="82"/>
    </row>
    <row r="23" spans="2:17">
      <c r="B23" s="62"/>
      <c r="C23" s="28">
        <f>(I23-$D$15)/365</f>
        <v>1.3671232876712329</v>
      </c>
      <c r="D23" s="101">
        <v>4.1460191500127967E-2</v>
      </c>
      <c r="E23" s="31">
        <f t="shared" si="1"/>
        <v>0.19126019150012796</v>
      </c>
      <c r="F23" s="29">
        <f>SUM(J23,K23,M23)</f>
        <v>2452518.2260324201</v>
      </c>
      <c r="G23" s="31">
        <f t="shared" si="2"/>
        <v>0.78720812381850425</v>
      </c>
      <c r="H23" s="29">
        <f>F23*G23</f>
        <v>1930642.2713456678</v>
      </c>
      <c r="I23" s="30">
        <f>WORKDAY(C40-1, 1, 'Market Inputs '!$B$23:$B$36)</f>
        <v>46156</v>
      </c>
      <c r="J23" s="28">
        <f>(I23-I22)/365*$D$9*(N22+L22)</f>
        <v>88879.299365753453</v>
      </c>
      <c r="K23" s="28">
        <f>$D$11/3</f>
        <v>696972.21333333326</v>
      </c>
      <c r="L23" s="28">
        <f t="shared" si="4"/>
        <v>0</v>
      </c>
      <c r="M23" s="28">
        <f>$N$20/3</f>
        <v>1666666.7133333331</v>
      </c>
      <c r="N23" s="28">
        <f>N22-M23</f>
        <v>0</v>
      </c>
      <c r="Q23" s="82"/>
    </row>
    <row r="24" spans="2:17">
      <c r="B24" s="62"/>
      <c r="C24" s="34"/>
      <c r="D24" s="34"/>
      <c r="E24" s="34"/>
      <c r="F24" s="39"/>
      <c r="G24" s="34"/>
      <c r="H24" s="39"/>
      <c r="I24" s="40"/>
      <c r="J24" s="34"/>
      <c r="K24" s="34"/>
      <c r="L24" s="34"/>
      <c r="M24" s="34"/>
      <c r="N24" s="34"/>
      <c r="Q24" s="82"/>
    </row>
    <row r="25" spans="2:17">
      <c r="B25" s="62"/>
      <c r="C25" s="34"/>
      <c r="D25" s="34"/>
      <c r="E25" s="34"/>
      <c r="F25" s="39"/>
      <c r="G25" s="34"/>
      <c r="H25" s="39"/>
      <c r="I25" s="40"/>
      <c r="J25" s="34"/>
      <c r="K25" s="34"/>
      <c r="L25" s="34"/>
      <c r="M25" s="34"/>
      <c r="N25" s="34"/>
      <c r="Q25" s="82"/>
    </row>
    <row r="26" spans="2:17">
      <c r="B26" s="62"/>
      <c r="C26" s="34"/>
      <c r="D26" s="34"/>
      <c r="E26" s="34"/>
      <c r="F26" s="39"/>
      <c r="G26" s="34"/>
      <c r="H26" s="39"/>
      <c r="I26" s="40"/>
      <c r="J26" s="34"/>
      <c r="K26" s="34"/>
      <c r="L26" s="34"/>
      <c r="M26" s="34"/>
      <c r="N26" s="34"/>
      <c r="Q26" s="82"/>
    </row>
    <row r="27" spans="2:17">
      <c r="B27" s="62"/>
      <c r="C27" s="16" t="s">
        <v>64</v>
      </c>
      <c r="D27" s="43">
        <f>SUM(H21:H23)</f>
        <v>6513075.5358393695</v>
      </c>
      <c r="E27" s="40"/>
      <c r="F27" s="34"/>
      <c r="G27" s="34"/>
      <c r="H27" s="34"/>
      <c r="Q27" s="82"/>
    </row>
    <row r="28" spans="2:17">
      <c r="B28" s="62"/>
      <c r="C28" s="16" t="s">
        <v>94</v>
      </c>
      <c r="D28" s="43">
        <f>D7+D11</f>
        <v>7090916.7799999993</v>
      </c>
      <c r="E28" s="40"/>
      <c r="F28" s="34"/>
      <c r="G28" s="128"/>
      <c r="H28" s="34"/>
      <c r="Q28" s="82"/>
    </row>
    <row r="29" spans="2:17">
      <c r="B29" s="62"/>
      <c r="C29" s="16" t="s">
        <v>65</v>
      </c>
      <c r="D29" s="43">
        <f>D27-D28</f>
        <v>-577841.24416062981</v>
      </c>
      <c r="E29" s="40"/>
      <c r="F29" s="34"/>
      <c r="G29" s="34"/>
      <c r="H29" s="34"/>
      <c r="Q29" s="82"/>
    </row>
    <row r="30" spans="2:17">
      <c r="B30" s="62"/>
      <c r="F30" s="63"/>
      <c r="G30" s="40"/>
      <c r="H30" s="34"/>
      <c r="I30" s="34"/>
      <c r="J30" s="34"/>
      <c r="Q30" s="82"/>
    </row>
    <row r="31" spans="2:17">
      <c r="B31" s="62"/>
      <c r="C31" s="16"/>
      <c r="D31" s="41" t="s">
        <v>67</v>
      </c>
      <c r="E31" s="41" t="s">
        <v>95</v>
      </c>
      <c r="F31" s="42" t="s">
        <v>96</v>
      </c>
      <c r="G31" s="40"/>
      <c r="H31" s="34"/>
      <c r="I31" s="34"/>
      <c r="J31" s="34"/>
      <c r="Q31" s="82"/>
    </row>
    <row r="32" spans="2:17">
      <c r="B32" s="62"/>
      <c r="C32" s="16" t="s">
        <v>97</v>
      </c>
      <c r="D32" s="43">
        <f>D27</f>
        <v>6513075.5358393695</v>
      </c>
      <c r="E32" s="16">
        <f>'Market Inputs '!H8</f>
        <v>25.798500000000001</v>
      </c>
      <c r="F32" s="45">
        <f>D32*E32</f>
        <v>168027579.21135199</v>
      </c>
      <c r="G32" s="72"/>
      <c r="H32" s="34"/>
      <c r="I32" s="34"/>
      <c r="J32" s="34"/>
      <c r="Q32" s="82"/>
    </row>
    <row r="33" spans="2:17">
      <c r="B33" s="62"/>
      <c r="C33" s="16" t="s">
        <v>98</v>
      </c>
      <c r="D33" s="43">
        <f>D28</f>
        <v>7090916.7799999993</v>
      </c>
      <c r="E33" s="16">
        <f>'Market Inputs '!H8</f>
        <v>25.798500000000001</v>
      </c>
      <c r="F33" s="45">
        <f>E33*D33</f>
        <v>182935016.54882997</v>
      </c>
      <c r="G33" s="40"/>
      <c r="H33" s="34"/>
      <c r="I33" s="34"/>
      <c r="J33" s="34"/>
      <c r="Q33" s="82"/>
    </row>
    <row r="34" spans="2:17">
      <c r="B34" s="62"/>
      <c r="C34" s="16" t="s">
        <v>117</v>
      </c>
      <c r="D34" s="16"/>
      <c r="E34" s="16"/>
      <c r="F34" s="45">
        <f>F32-F33</f>
        <v>-14907437.337477982</v>
      </c>
      <c r="G34" s="40"/>
      <c r="Q34" s="82"/>
    </row>
    <row r="35" spans="2:17">
      <c r="B35" s="62"/>
      <c r="C35" s="34"/>
      <c r="D35" s="39"/>
      <c r="E35" s="34"/>
      <c r="F35" s="39"/>
      <c r="J35" s="64"/>
      <c r="Q35" s="82"/>
    </row>
    <row r="36" spans="2:17">
      <c r="B36" s="62"/>
      <c r="Q36" s="82"/>
    </row>
    <row r="37" spans="2:17">
      <c r="B37" s="62"/>
      <c r="C37" s="151" t="s">
        <v>123</v>
      </c>
      <c r="Q37" s="82"/>
    </row>
    <row r="38" spans="2:17">
      <c r="B38" s="62"/>
      <c r="C38" s="18">
        <f>C39-365/2</f>
        <v>45791</v>
      </c>
      <c r="Q38" s="82"/>
    </row>
    <row r="39" spans="2:17">
      <c r="B39" s="62"/>
      <c r="C39" s="18">
        <f>C40-365/2</f>
        <v>45973.5</v>
      </c>
      <c r="Q39" s="82"/>
    </row>
    <row r="40" spans="2:17">
      <c r="B40" s="62"/>
      <c r="C40" s="18">
        <f>D12</f>
        <v>46156</v>
      </c>
      <c r="Q40" s="82"/>
    </row>
    <row r="41" spans="2:17">
      <c r="B41" s="62"/>
      <c r="Q41" s="82"/>
    </row>
    <row r="42" spans="2:17">
      <c r="B42" s="62"/>
      <c r="Q42" s="82"/>
    </row>
    <row r="43" spans="2:17" ht="14.45" thickBot="1">
      <c r="B43" s="84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85"/>
    </row>
    <row r="44" spans="2:17" ht="14.45" thickTop="1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918E-4D49-4B89-92DB-80D48B14B907}">
  <sheetPr codeName="Sheet11"/>
  <dimension ref="B4:Q55"/>
  <sheetViews>
    <sheetView showGridLines="0" topLeftCell="C26" zoomScale="129" zoomScaleNormal="158" workbookViewId="0">
      <selection activeCell="N23" sqref="N23"/>
    </sheetView>
  </sheetViews>
  <sheetFormatPr defaultColWidth="8.75" defaultRowHeight="13.9"/>
  <cols>
    <col min="1" max="2" width="8.75" style="38"/>
    <col min="3" max="3" width="35.75" style="38" bestFit="1" customWidth="1"/>
    <col min="4" max="4" width="15" style="38" customWidth="1"/>
    <col min="5" max="5" width="24.25" style="38" customWidth="1"/>
    <col min="6" max="6" width="15" style="38" bestFit="1" customWidth="1"/>
    <col min="7" max="7" width="9.25" style="38" bestFit="1" customWidth="1"/>
    <col min="8" max="8" width="16" style="38" customWidth="1"/>
    <col min="9" max="9" width="14.25" style="38" bestFit="1" customWidth="1"/>
    <col min="10" max="10" width="12.25" style="38" bestFit="1" customWidth="1"/>
    <col min="11" max="11" width="16" style="38" bestFit="1" customWidth="1"/>
    <col min="12" max="12" width="16" style="38" customWidth="1"/>
    <col min="13" max="13" width="11.5" style="38" bestFit="1" customWidth="1"/>
    <col min="14" max="14" width="12.75" style="38" bestFit="1" customWidth="1"/>
    <col min="15" max="16384" width="8.75" style="38"/>
  </cols>
  <sheetData>
    <row r="4" spans="2:17" ht="14.45" thickBot="1">
      <c r="F4" s="63"/>
    </row>
    <row r="5" spans="2:17" ht="14.45" thickTop="1">
      <c r="B5" s="49"/>
      <c r="C5" s="50"/>
      <c r="D5" s="50"/>
      <c r="E5" s="50"/>
      <c r="F5" s="131"/>
      <c r="G5" s="50"/>
      <c r="H5" s="50"/>
      <c r="I5" s="50"/>
      <c r="J5" s="50"/>
      <c r="K5" s="50"/>
      <c r="L5" s="50"/>
      <c r="M5" s="50"/>
      <c r="N5" s="50"/>
      <c r="O5" s="50"/>
      <c r="P5" s="50"/>
      <c r="Q5" s="81"/>
    </row>
    <row r="6" spans="2:17">
      <c r="B6" s="62"/>
      <c r="F6" s="70"/>
      <c r="Q6" s="82"/>
    </row>
    <row r="7" spans="2:17">
      <c r="B7" s="62"/>
      <c r="C7" s="17" t="s">
        <v>55</v>
      </c>
      <c r="D7" s="17" t="s">
        <v>121</v>
      </c>
      <c r="Q7" s="82"/>
    </row>
    <row r="8" spans="2:17">
      <c r="B8" s="62"/>
      <c r="C8" s="17" t="s">
        <v>71</v>
      </c>
      <c r="D8" s="19">
        <v>518288</v>
      </c>
      <c r="I8" s="32"/>
      <c r="Q8" s="82"/>
    </row>
    <row r="9" spans="2:17">
      <c r="B9" s="62"/>
      <c r="C9" s="17" t="s">
        <v>57</v>
      </c>
      <c r="D9" s="17" t="s">
        <v>66</v>
      </c>
      <c r="Q9" s="82"/>
    </row>
    <row r="10" spans="2:17">
      <c r="B10" s="62"/>
      <c r="C10" s="17" t="s">
        <v>72</v>
      </c>
      <c r="D10" s="20">
        <v>0.12</v>
      </c>
      <c r="H10" s="54"/>
      <c r="I10" s="33"/>
      <c r="J10" s="54"/>
      <c r="Q10" s="82"/>
    </row>
    <row r="11" spans="2:17">
      <c r="B11" s="62"/>
      <c r="C11" s="17" t="s">
        <v>73</v>
      </c>
      <c r="D11" s="21" t="s">
        <v>74</v>
      </c>
      <c r="H11" s="59"/>
      <c r="I11" s="34"/>
      <c r="J11" s="59"/>
      <c r="Q11" s="82"/>
    </row>
    <row r="12" spans="2:17">
      <c r="B12" s="62"/>
      <c r="C12" s="17" t="str">
        <f>'[2]Solgas $5m'!A12</f>
        <v>Unpaid Interest Accrued to 31 December 2024</v>
      </c>
      <c r="D12" s="114">
        <v>112803.53</v>
      </c>
      <c r="E12" s="38" t="s">
        <v>76</v>
      </c>
      <c r="F12" s="35"/>
      <c r="G12" s="60"/>
      <c r="H12" s="59"/>
      <c r="I12" s="34"/>
      <c r="J12" s="59"/>
      <c r="Q12" s="82"/>
    </row>
    <row r="13" spans="2:17">
      <c r="B13" s="62"/>
      <c r="C13" s="17" t="s">
        <v>59</v>
      </c>
      <c r="D13" s="18">
        <f>D14+(365*7)</f>
        <v>46836</v>
      </c>
      <c r="F13" s="34"/>
      <c r="G13" s="54"/>
      <c r="H13" s="59"/>
      <c r="I13" s="34"/>
      <c r="J13" s="59"/>
      <c r="Q13" s="82"/>
    </row>
    <row r="14" spans="2:17">
      <c r="B14" s="62"/>
      <c r="C14" s="17" t="s">
        <v>58</v>
      </c>
      <c r="D14" s="18">
        <v>44281</v>
      </c>
      <c r="E14" s="59"/>
      <c r="F14" s="59"/>
      <c r="G14" s="59"/>
      <c r="H14" s="59"/>
      <c r="I14" s="59"/>
      <c r="J14" s="59"/>
      <c r="Q14" s="82"/>
    </row>
    <row r="15" spans="2:17">
      <c r="B15" s="62"/>
      <c r="C15" s="17" t="s">
        <v>77</v>
      </c>
      <c r="D15" s="18">
        <f>I24</f>
        <v>45741</v>
      </c>
      <c r="E15" s="40"/>
      <c r="F15" s="40"/>
      <c r="G15" s="40"/>
      <c r="H15" s="40"/>
      <c r="I15" s="40"/>
      <c r="J15" s="34"/>
      <c r="Q15" s="82"/>
    </row>
    <row r="16" spans="2:17">
      <c r="B16" s="62"/>
      <c r="C16" s="17" t="s">
        <v>70</v>
      </c>
      <c r="D16" s="18">
        <v>45657</v>
      </c>
      <c r="H16" s="59"/>
      <c r="I16" s="34"/>
      <c r="J16" s="59"/>
      <c r="Q16" s="82"/>
    </row>
    <row r="17" spans="2:17">
      <c r="B17" s="62"/>
      <c r="C17" s="17" t="s">
        <v>108</v>
      </c>
      <c r="D17" s="18">
        <f>I24</f>
        <v>45741</v>
      </c>
      <c r="E17" s="40"/>
      <c r="F17" s="40"/>
      <c r="G17" s="40"/>
      <c r="H17" s="40"/>
      <c r="I17" s="40"/>
      <c r="J17" s="36"/>
      <c r="Q17" s="82"/>
    </row>
    <row r="18" spans="2:17">
      <c r="B18" s="62"/>
      <c r="C18" s="17" t="s">
        <v>78</v>
      </c>
      <c r="D18" s="20">
        <f>'Market Inputs '!H5</f>
        <v>2.9600000000000001E-2</v>
      </c>
      <c r="E18" s="40" t="s">
        <v>79</v>
      </c>
      <c r="F18" s="40"/>
      <c r="G18" s="40"/>
      <c r="H18" s="40"/>
      <c r="I18" s="40"/>
      <c r="J18" s="36"/>
      <c r="Q18" s="82"/>
    </row>
    <row r="19" spans="2:17">
      <c r="B19" s="62"/>
      <c r="C19" s="17" t="s">
        <v>80</v>
      </c>
      <c r="D19" s="20">
        <f>'Market Inputs '!H9</f>
        <v>0.1202</v>
      </c>
      <c r="E19" s="40" t="s">
        <v>81</v>
      </c>
      <c r="F19" s="40"/>
      <c r="G19" s="40"/>
      <c r="H19" s="40"/>
      <c r="I19" s="40"/>
      <c r="J19" s="36"/>
      <c r="Q19" s="82"/>
    </row>
    <row r="20" spans="2:17">
      <c r="B20" s="62"/>
      <c r="C20" s="130"/>
      <c r="D20" s="91"/>
      <c r="E20" s="40"/>
      <c r="F20" s="40"/>
      <c r="G20" s="40"/>
      <c r="H20" s="40"/>
      <c r="I20" s="40"/>
      <c r="J20" s="36"/>
      <c r="Q20" s="82"/>
    </row>
    <row r="21" spans="2:17">
      <c r="B21" s="62"/>
      <c r="Q21" s="82"/>
    </row>
    <row r="22" spans="2:17">
      <c r="B22" s="62"/>
      <c r="C22" s="26" t="s">
        <v>83</v>
      </c>
      <c r="D22" s="96" t="s">
        <v>84</v>
      </c>
      <c r="E22" s="96" t="s">
        <v>85</v>
      </c>
      <c r="F22" s="26" t="s">
        <v>86</v>
      </c>
      <c r="G22" s="26" t="s">
        <v>87</v>
      </c>
      <c r="H22" s="26" t="s">
        <v>88</v>
      </c>
      <c r="I22" s="26" t="s">
        <v>82</v>
      </c>
      <c r="J22" s="26" t="s">
        <v>90</v>
      </c>
      <c r="K22" s="96" t="s">
        <v>91</v>
      </c>
      <c r="L22" s="96" t="s">
        <v>92</v>
      </c>
      <c r="M22" s="26" t="s">
        <v>71</v>
      </c>
      <c r="N22" s="27" t="s">
        <v>93</v>
      </c>
      <c r="Q22" s="82"/>
    </row>
    <row r="23" spans="2:17">
      <c r="B23" s="62"/>
      <c r="C23" s="26"/>
      <c r="D23" s="26"/>
      <c r="E23" s="26"/>
      <c r="F23" s="26"/>
      <c r="G23" s="26"/>
      <c r="H23" s="26"/>
      <c r="I23" s="30">
        <f>D16</f>
        <v>45657</v>
      </c>
      <c r="J23" s="28"/>
      <c r="K23" s="28"/>
      <c r="L23" s="28">
        <f>D12</f>
        <v>112803.53</v>
      </c>
      <c r="M23" s="28"/>
      <c r="N23" s="28">
        <f>D8</f>
        <v>518288</v>
      </c>
      <c r="Q23" s="82"/>
    </row>
    <row r="24" spans="2:17">
      <c r="B24" s="62"/>
      <c r="C24" s="28">
        <f>(I24-$D$16)/365</f>
        <v>0.23013698630136986</v>
      </c>
      <c r="D24" s="31">
        <v>4.1816232984037256E-2</v>
      </c>
      <c r="E24" s="31">
        <f>$D$19+$D$18+D24</f>
        <v>0.19161623298403724</v>
      </c>
      <c r="F24" s="29">
        <f>SUM(J24,K24,M24)</f>
        <v>107584.43319248532</v>
      </c>
      <c r="G24" s="31">
        <f>1/(1+E24)^(C24)</f>
        <v>0.96045759655842022</v>
      </c>
      <c r="H24" s="29">
        <f>F24*G24</f>
        <v>103330.28613115438</v>
      </c>
      <c r="I24" s="30">
        <f>WORKDAY(C45-1, 1, 'Market Inputs '!$B$23:$B$36)</f>
        <v>45741</v>
      </c>
      <c r="J24" s="28">
        <f>(I24-I23)/365*$D$10*(N23+L23)</f>
        <v>17428.500335342465</v>
      </c>
      <c r="K24" s="28">
        <f>$D$12/7</f>
        <v>16114.789999999999</v>
      </c>
      <c r="L24" s="28">
        <f>L23-K24</f>
        <v>96688.74</v>
      </c>
      <c r="M24" s="28">
        <f>$N$23/7</f>
        <v>74041.142857142855</v>
      </c>
      <c r="N24" s="28">
        <f>N23-M24</f>
        <v>444246.85714285716</v>
      </c>
      <c r="O24" s="40"/>
      <c r="Q24" s="82"/>
    </row>
    <row r="25" spans="2:17">
      <c r="B25" s="62"/>
      <c r="C25" s="28">
        <f>(I25-$D$16)/365</f>
        <v>0.72876712328767124</v>
      </c>
      <c r="D25" s="31">
        <v>4.1648849804401519E-2</v>
      </c>
      <c r="E25" s="31">
        <f t="shared" ref="E25:E30" si="0">$D$19+$D$18+D25</f>
        <v>0.19144884980440152</v>
      </c>
      <c r="F25" s="29">
        <f>SUM(J25,K25,M25)</f>
        <v>122523.14776563601</v>
      </c>
      <c r="G25" s="31">
        <f>1/(1+E25)^(C25)</f>
        <v>0.88015416383832601</v>
      </c>
      <c r="H25" s="29">
        <f t="shared" ref="H25:H30" si="1">F25*G25</f>
        <v>107839.25867250303</v>
      </c>
      <c r="I25" s="30">
        <f>WORKDAY(C46-1, 1, 'Market Inputs '!$B$23:$B$36)</f>
        <v>45923</v>
      </c>
      <c r="J25" s="28">
        <f>(I25-I24)/365*$D$10*(N24+L24)</f>
        <v>32367.214908493152</v>
      </c>
      <c r="K25" s="28">
        <f t="shared" ref="K25:K30" si="2">$D$12/7</f>
        <v>16114.789999999999</v>
      </c>
      <c r="L25" s="28">
        <f>L24-K25</f>
        <v>80573.950000000012</v>
      </c>
      <c r="M25" s="28">
        <f t="shared" ref="M25:M30" si="3">$N$23/7</f>
        <v>74041.142857142855</v>
      </c>
      <c r="N25" s="28">
        <f t="shared" ref="N25:N30" si="4">N24-M25</f>
        <v>370205.71428571432</v>
      </c>
      <c r="Q25" s="82"/>
    </row>
    <row r="26" spans="2:17">
      <c r="B26" s="62"/>
      <c r="C26" s="28">
        <f t="shared" ref="C26:C30" si="5">(I26-$D$16)/365</f>
        <v>1.2301369863013698</v>
      </c>
      <c r="D26" s="31">
        <v>4.1498417380018936E-2</v>
      </c>
      <c r="E26" s="31">
        <f t="shared" si="0"/>
        <v>0.19129841738001893</v>
      </c>
      <c r="F26" s="29">
        <f>SUM(J26,K26,M26)</f>
        <v>117276.81348101761</v>
      </c>
      <c r="G26" s="31">
        <f t="shared" ref="G26:G30" si="6">1/(1+E26)^(C26)</f>
        <v>0.80627703762587299</v>
      </c>
      <c r="H26" s="29">
        <f t="shared" si="1"/>
        <v>94557.601755676922</v>
      </c>
      <c r="I26" s="30">
        <f>WORKDAY(C47-1, 1, 'Market Inputs '!$B$23:$B$36)</f>
        <v>46106</v>
      </c>
      <c r="J26" s="28">
        <f>(I26-I25)/365*$D$10*(N25+L25)</f>
        <v>27120.88062387476</v>
      </c>
      <c r="K26" s="28">
        <f t="shared" si="2"/>
        <v>16114.789999999999</v>
      </c>
      <c r="L26" s="28">
        <f t="shared" ref="L26:L30" si="7">L25-K26</f>
        <v>64459.160000000011</v>
      </c>
      <c r="M26" s="28">
        <f t="shared" si="3"/>
        <v>74041.142857142855</v>
      </c>
      <c r="N26" s="28">
        <f t="shared" si="4"/>
        <v>296164.57142857148</v>
      </c>
      <c r="Q26" s="82"/>
    </row>
    <row r="27" spans="2:17">
      <c r="B27" s="62"/>
      <c r="C27" s="28">
        <f t="shared" si="5"/>
        <v>1.7287671232876711</v>
      </c>
      <c r="D27" s="31">
        <v>4.1364800142634009E-2</v>
      </c>
      <c r="E27" s="31">
        <f t="shared" si="0"/>
        <v>0.19116480014263398</v>
      </c>
      <c r="F27" s="29">
        <f>SUM(J27,K27,M27)</f>
        <v>111734.07612947162</v>
      </c>
      <c r="G27" s="31">
        <f t="shared" si="6"/>
        <v>0.73903049854565428</v>
      </c>
      <c r="H27" s="29">
        <f t="shared" si="1"/>
        <v>82574.889986501497</v>
      </c>
      <c r="I27" s="30">
        <f>WORKDAY(C48-1, 1, 'Market Inputs '!$B$23:$B$36)</f>
        <v>46288</v>
      </c>
      <c r="J27" s="28">
        <f t="shared" ref="J27:J30" si="8">(I27-I26)/365*$D$10*(N26+L26)</f>
        <v>21578.143272328773</v>
      </c>
      <c r="K27" s="28">
        <f t="shared" si="2"/>
        <v>16114.789999999999</v>
      </c>
      <c r="L27" s="28">
        <f t="shared" si="7"/>
        <v>48344.37000000001</v>
      </c>
      <c r="M27" s="28">
        <f t="shared" si="3"/>
        <v>74041.142857142855</v>
      </c>
      <c r="N27" s="28">
        <f t="shared" si="4"/>
        <v>222123.42857142864</v>
      </c>
      <c r="Q27" s="82"/>
    </row>
    <row r="28" spans="2:17">
      <c r="B28" s="62"/>
      <c r="C28" s="28">
        <f t="shared" si="5"/>
        <v>2.2301369863013698</v>
      </c>
      <c r="D28" s="31">
        <v>4.1244907239376835E-2</v>
      </c>
      <c r="E28" s="31">
        <f t="shared" si="0"/>
        <v>0.19104490723937684</v>
      </c>
      <c r="F28" s="29">
        <f t="shared" ref="F28" si="9">SUM(J28,K28,M28)</f>
        <v>106428.46123146772</v>
      </c>
      <c r="G28" s="31">
        <f t="shared" si="6"/>
        <v>0.67712656846810859</v>
      </c>
      <c r="H28" s="29">
        <f t="shared" si="1"/>
        <v>72065.538741004872</v>
      </c>
      <c r="I28" s="30">
        <f>WORKDAY(C49-1, 1, 'Market Inputs '!$B$23:$B$36)</f>
        <v>46471</v>
      </c>
      <c r="J28" s="28">
        <f t="shared" si="8"/>
        <v>16272.528374324858</v>
      </c>
      <c r="K28" s="28">
        <f t="shared" si="2"/>
        <v>16114.789999999999</v>
      </c>
      <c r="L28" s="28">
        <f t="shared" si="7"/>
        <v>32229.580000000009</v>
      </c>
      <c r="M28" s="28">
        <f t="shared" si="3"/>
        <v>74041.142857142855</v>
      </c>
      <c r="N28" s="28">
        <f t="shared" si="4"/>
        <v>148082.2857142858</v>
      </c>
      <c r="Q28" s="82"/>
    </row>
    <row r="29" spans="2:17">
      <c r="B29" s="62"/>
      <c r="C29" s="28">
        <f t="shared" si="5"/>
        <v>2.7287671232876711</v>
      </c>
      <c r="D29" s="31">
        <v>4.1138591537792715E-2</v>
      </c>
      <c r="E29" s="31">
        <f t="shared" si="0"/>
        <v>0.19093859153779269</v>
      </c>
      <c r="F29" s="29">
        <f>SUM(J29,K29,M29)</f>
        <v>100945.00449330723</v>
      </c>
      <c r="G29" s="31">
        <f t="shared" si="6"/>
        <v>0.62074836771712649</v>
      </c>
      <c r="H29" s="29">
        <f t="shared" si="1"/>
        <v>62661.446768418464</v>
      </c>
      <c r="I29" s="30">
        <f>WORKDAY(C50-1, 1, 'Market Inputs '!$B$23:$B$36)</f>
        <v>46653</v>
      </c>
      <c r="J29" s="28">
        <f t="shared" si="8"/>
        <v>10789.07163616439</v>
      </c>
      <c r="K29" s="28">
        <f t="shared" si="2"/>
        <v>16114.789999999999</v>
      </c>
      <c r="L29" s="28">
        <f>L28-K29</f>
        <v>16114.79000000001</v>
      </c>
      <c r="M29" s="28">
        <f t="shared" si="3"/>
        <v>74041.142857142855</v>
      </c>
      <c r="N29" s="28">
        <f t="shared" si="4"/>
        <v>74041.142857142942</v>
      </c>
      <c r="Q29" s="82"/>
    </row>
    <row r="30" spans="2:17">
      <c r="B30" s="62"/>
      <c r="C30" s="28">
        <f t="shared" si="5"/>
        <v>3.2301369863013698</v>
      </c>
      <c r="D30" s="31">
        <v>4.1043356690964081E-2</v>
      </c>
      <c r="E30" s="31">
        <f t="shared" si="0"/>
        <v>0.19084335669096408</v>
      </c>
      <c r="F30" s="29">
        <f>SUM(J30,K30,M30)</f>
        <v>95580.108981917816</v>
      </c>
      <c r="G30" s="31">
        <f t="shared" si="6"/>
        <v>0.56882559200522576</v>
      </c>
      <c r="H30" s="29">
        <f t="shared" si="1"/>
        <v>54368.412075563399</v>
      </c>
      <c r="I30" s="30">
        <f>WORKDAY(C51-1, 1, 'Market Inputs '!$B$23:$B$36)</f>
        <v>46836</v>
      </c>
      <c r="J30" s="28">
        <f t="shared" si="8"/>
        <v>5424.1761247749564</v>
      </c>
      <c r="K30" s="28">
        <f t="shared" si="2"/>
        <v>16114.789999999999</v>
      </c>
      <c r="L30" s="28">
        <f t="shared" si="7"/>
        <v>0</v>
      </c>
      <c r="M30" s="28">
        <f t="shared" si="3"/>
        <v>74041.142857142855</v>
      </c>
      <c r="N30" s="28">
        <f t="shared" si="4"/>
        <v>0</v>
      </c>
      <c r="Q30" s="82"/>
    </row>
    <row r="31" spans="2:17">
      <c r="B31" s="62"/>
      <c r="C31" s="34"/>
      <c r="D31" s="34"/>
      <c r="E31" s="34"/>
      <c r="F31" s="39"/>
      <c r="G31" s="34"/>
      <c r="H31" s="39"/>
      <c r="I31" s="40"/>
      <c r="J31" s="34"/>
      <c r="K31" s="34"/>
      <c r="L31" s="34"/>
      <c r="M31" s="34"/>
      <c r="Q31" s="82"/>
    </row>
    <row r="32" spans="2:17">
      <c r="B32" s="62"/>
      <c r="C32" s="34"/>
      <c r="D32" s="34"/>
      <c r="E32" s="34"/>
      <c r="F32" s="70"/>
      <c r="G32" s="129"/>
      <c r="H32" s="39"/>
      <c r="I32" s="40"/>
      <c r="J32" s="34"/>
      <c r="K32" s="34"/>
      <c r="L32" s="34"/>
      <c r="M32" s="34"/>
      <c r="Q32" s="82"/>
    </row>
    <row r="33" spans="2:17">
      <c r="B33" s="62"/>
      <c r="C33" s="16" t="s">
        <v>64</v>
      </c>
      <c r="D33" s="43">
        <f>SUM(H24:H30)</f>
        <v>577397.43413082254</v>
      </c>
      <c r="E33" s="40"/>
      <c r="F33" s="34"/>
      <c r="G33" s="34"/>
      <c r="H33" s="34"/>
      <c r="Q33" s="82"/>
    </row>
    <row r="34" spans="2:17">
      <c r="B34" s="62"/>
      <c r="C34" s="16" t="s">
        <v>94</v>
      </c>
      <c r="D34" s="43">
        <f>D8+D12</f>
        <v>631091.53</v>
      </c>
      <c r="E34" s="40"/>
      <c r="F34" s="34"/>
      <c r="G34" s="34"/>
      <c r="H34" s="34"/>
      <c r="Q34" s="82"/>
    </row>
    <row r="35" spans="2:17">
      <c r="B35" s="62"/>
      <c r="C35" s="16" t="s">
        <v>65</v>
      </c>
      <c r="D35" s="43">
        <f>D33-D34</f>
        <v>-53694.095869177487</v>
      </c>
      <c r="E35" s="40"/>
      <c r="Q35" s="82"/>
    </row>
    <row r="36" spans="2:17">
      <c r="B36" s="62"/>
      <c r="D36" s="70"/>
      <c r="E36" s="40"/>
      <c r="Q36" s="82"/>
    </row>
    <row r="37" spans="2:17">
      <c r="B37" s="62"/>
      <c r="H37" s="63"/>
      <c r="I37" s="40"/>
      <c r="M37" s="64"/>
      <c r="Q37" s="82"/>
    </row>
    <row r="38" spans="2:17">
      <c r="B38" s="62"/>
      <c r="C38" s="16"/>
      <c r="D38" s="41" t="s">
        <v>67</v>
      </c>
      <c r="E38" s="41" t="s">
        <v>95</v>
      </c>
      <c r="F38" s="42" t="s">
        <v>96</v>
      </c>
      <c r="Q38" s="82"/>
    </row>
    <row r="39" spans="2:17">
      <c r="B39" s="62"/>
      <c r="C39" s="16" t="s">
        <v>97</v>
      </c>
      <c r="D39" s="43">
        <f>D33</f>
        <v>577397.43413082254</v>
      </c>
      <c r="E39" s="16">
        <f>'Market Inputs '!H8</f>
        <v>25.798500000000001</v>
      </c>
      <c r="F39" s="45">
        <f>D39*E39</f>
        <v>14895987.704424025</v>
      </c>
      <c r="Q39" s="82"/>
    </row>
    <row r="40" spans="2:17">
      <c r="B40" s="62"/>
      <c r="C40" s="16" t="s">
        <v>98</v>
      </c>
      <c r="D40" s="43">
        <f>D34</f>
        <v>631091.53</v>
      </c>
      <c r="E40" s="16">
        <f>E39</f>
        <v>25.798500000000001</v>
      </c>
      <c r="F40" s="45">
        <f>E40*D40</f>
        <v>16281214.836705001</v>
      </c>
      <c r="Q40" s="82"/>
    </row>
    <row r="41" spans="2:17">
      <c r="B41" s="62"/>
      <c r="C41" s="16" t="s">
        <v>117</v>
      </c>
      <c r="D41" s="16"/>
      <c r="E41" s="16"/>
      <c r="F41" s="45">
        <f>F39-F40</f>
        <v>-1385227.1322809756</v>
      </c>
      <c r="Q41" s="82"/>
    </row>
    <row r="42" spans="2:17">
      <c r="B42" s="62"/>
      <c r="Q42" s="82"/>
    </row>
    <row r="43" spans="2:17">
      <c r="B43" s="62"/>
      <c r="C43" s="130"/>
      <c r="Q43" s="82"/>
    </row>
    <row r="44" spans="2:17">
      <c r="B44" s="62"/>
      <c r="C44" s="17" t="s">
        <v>99</v>
      </c>
      <c r="Q44" s="82"/>
    </row>
    <row r="45" spans="2:17">
      <c r="B45" s="62"/>
      <c r="C45" s="18">
        <f t="shared" ref="C45:C49" si="10">C46-365/2</f>
        <v>45741</v>
      </c>
      <c r="Q45" s="82"/>
    </row>
    <row r="46" spans="2:17">
      <c r="B46" s="62"/>
      <c r="C46" s="18">
        <f t="shared" si="10"/>
        <v>45923.5</v>
      </c>
      <c r="Q46" s="82"/>
    </row>
    <row r="47" spans="2:17">
      <c r="B47" s="62"/>
      <c r="C47" s="18">
        <f t="shared" si="10"/>
        <v>46106</v>
      </c>
      <c r="Q47" s="82"/>
    </row>
    <row r="48" spans="2:17">
      <c r="B48" s="62"/>
      <c r="C48" s="18">
        <f t="shared" si="10"/>
        <v>46288.5</v>
      </c>
      <c r="Q48" s="82"/>
    </row>
    <row r="49" spans="2:17">
      <c r="B49" s="62"/>
      <c r="C49" s="18">
        <f t="shared" si="10"/>
        <v>46471</v>
      </c>
      <c r="Q49" s="82"/>
    </row>
    <row r="50" spans="2:17">
      <c r="B50" s="62"/>
      <c r="C50" s="18">
        <f>C51-365/2</f>
        <v>46653.5</v>
      </c>
      <c r="Q50" s="82"/>
    </row>
    <row r="51" spans="2:17">
      <c r="B51" s="62"/>
      <c r="C51" s="18">
        <f>D13</f>
        <v>46836</v>
      </c>
      <c r="Q51" s="82"/>
    </row>
    <row r="52" spans="2:17">
      <c r="B52" s="62"/>
      <c r="Q52" s="82"/>
    </row>
    <row r="53" spans="2:17">
      <c r="B53" s="62"/>
      <c r="Q53" s="82"/>
    </row>
    <row r="54" spans="2:17" ht="14.45" thickBot="1">
      <c r="B54" s="84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85"/>
    </row>
    <row r="55" spans="2:17" ht="14.45" thickTop="1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0910-AF73-4989-B2C8-9B4D25015DB2}">
  <sheetPr codeName="Sheet9"/>
  <dimension ref="B3:Q56"/>
  <sheetViews>
    <sheetView showGridLines="0" topLeftCell="F18" zoomScale="113" zoomScaleNormal="117" workbookViewId="0">
      <selection activeCell="N21" sqref="N21"/>
    </sheetView>
  </sheetViews>
  <sheetFormatPr defaultColWidth="8.75" defaultRowHeight="13.9"/>
  <cols>
    <col min="1" max="2" width="8.75" style="38"/>
    <col min="3" max="3" width="30.25" style="38" bestFit="1" customWidth="1"/>
    <col min="4" max="4" width="14" style="38" customWidth="1"/>
    <col min="5" max="5" width="15.75" style="38" customWidth="1"/>
    <col min="6" max="6" width="13.75" style="38" bestFit="1" customWidth="1"/>
    <col min="7" max="7" width="9.25" style="38" bestFit="1" customWidth="1"/>
    <col min="8" max="8" width="12.75" style="38" customWidth="1"/>
    <col min="9" max="9" width="14" style="38" bestFit="1" customWidth="1"/>
    <col min="10" max="10" width="11.25" style="38" bestFit="1" customWidth="1"/>
    <col min="11" max="11" width="16.25" style="38" bestFit="1" customWidth="1"/>
    <col min="12" max="12" width="16.25" style="38" customWidth="1"/>
    <col min="13" max="14" width="11.5" style="38" bestFit="1" customWidth="1"/>
    <col min="15" max="16384" width="8.75" style="38"/>
  </cols>
  <sheetData>
    <row r="3" spans="2:17">
      <c r="F3" s="63"/>
    </row>
    <row r="4" spans="2:17" ht="14.45" thickBot="1">
      <c r="F4" s="63"/>
    </row>
    <row r="5" spans="2:17" ht="14.45" thickTop="1">
      <c r="B5" s="49"/>
      <c r="C5" s="50"/>
      <c r="D5" s="50"/>
      <c r="E5" s="50"/>
      <c r="F5" s="51"/>
      <c r="G5" s="50"/>
      <c r="H5" s="50"/>
      <c r="I5" s="50"/>
      <c r="J5" s="50"/>
      <c r="K5" s="50"/>
      <c r="L5" s="50"/>
      <c r="M5" s="50"/>
      <c r="N5" s="50"/>
      <c r="O5" s="50"/>
      <c r="P5" s="50"/>
      <c r="Q5" s="81"/>
    </row>
    <row r="6" spans="2:17">
      <c r="B6" s="62"/>
      <c r="C6" s="17" t="s">
        <v>55</v>
      </c>
      <c r="D6" s="17" t="s">
        <v>124</v>
      </c>
      <c r="Q6" s="82"/>
    </row>
    <row r="7" spans="2:17">
      <c r="B7" s="62"/>
      <c r="C7" s="17" t="s">
        <v>71</v>
      </c>
      <c r="D7" s="19">
        <v>900000.08</v>
      </c>
      <c r="I7" s="32"/>
      <c r="Q7" s="82"/>
    </row>
    <row r="8" spans="2:17">
      <c r="B8" s="62"/>
      <c r="C8" s="17" t="s">
        <v>57</v>
      </c>
      <c r="D8" s="17" t="s">
        <v>66</v>
      </c>
      <c r="Q8" s="82"/>
    </row>
    <row r="9" spans="2:17">
      <c r="B9" s="62"/>
      <c r="C9" s="17" t="s">
        <v>72</v>
      </c>
      <c r="D9" s="20">
        <v>0.12</v>
      </c>
      <c r="G9" s="56"/>
      <c r="H9" s="57"/>
      <c r="I9" s="33"/>
      <c r="J9" s="54"/>
      <c r="Q9" s="82"/>
    </row>
    <row r="10" spans="2:17">
      <c r="B10" s="62"/>
      <c r="C10" s="17" t="s">
        <v>73</v>
      </c>
      <c r="D10" s="21" t="s">
        <v>74</v>
      </c>
      <c r="G10" s="56"/>
      <c r="H10" s="58"/>
      <c r="I10" s="34"/>
      <c r="J10" s="59"/>
      <c r="Q10" s="82"/>
    </row>
    <row r="11" spans="2:17">
      <c r="B11" s="62"/>
      <c r="C11" s="17" t="str">
        <f>'[1]Richaw $5m'!A12</f>
        <v>Interest Accrued to 31 December 2024</v>
      </c>
      <c r="D11" s="114">
        <v>99544.88</v>
      </c>
      <c r="E11" s="38" t="s">
        <v>76</v>
      </c>
      <c r="F11" s="35"/>
      <c r="G11" s="60"/>
      <c r="H11" s="59"/>
      <c r="I11" s="34"/>
      <c r="J11" s="59"/>
      <c r="Q11" s="82"/>
    </row>
    <row r="12" spans="2:17">
      <c r="B12" s="62"/>
      <c r="C12" s="17" t="s">
        <v>59</v>
      </c>
      <c r="D12" s="18">
        <f>D13+(5*365)</f>
        <v>47065</v>
      </c>
      <c r="F12" s="34"/>
      <c r="G12" s="61"/>
      <c r="H12" s="59"/>
      <c r="I12" s="34"/>
      <c r="J12" s="59"/>
      <c r="Q12" s="82"/>
    </row>
    <row r="13" spans="2:17">
      <c r="B13" s="62"/>
      <c r="C13" s="17" t="s">
        <v>58</v>
      </c>
      <c r="D13" s="18">
        <v>45240</v>
      </c>
      <c r="E13" s="58"/>
      <c r="F13" s="59"/>
      <c r="G13" s="59"/>
      <c r="H13" s="59"/>
      <c r="I13" s="59"/>
      <c r="J13" s="59"/>
      <c r="Q13" s="82"/>
    </row>
    <row r="14" spans="2:17">
      <c r="B14" s="62"/>
      <c r="C14" s="17" t="s">
        <v>77</v>
      </c>
      <c r="D14" s="18">
        <f>I22</f>
        <v>45789</v>
      </c>
      <c r="E14" s="58"/>
      <c r="F14" s="40"/>
      <c r="G14" s="40"/>
      <c r="H14" s="40"/>
      <c r="I14" s="40"/>
      <c r="J14" s="34"/>
      <c r="Q14" s="82"/>
    </row>
    <row r="15" spans="2:17">
      <c r="B15" s="62"/>
      <c r="C15" s="17" t="s">
        <v>70</v>
      </c>
      <c r="D15" s="18">
        <v>45657</v>
      </c>
      <c r="H15" s="59"/>
      <c r="I15" s="34"/>
      <c r="J15" s="59"/>
      <c r="Q15" s="82"/>
    </row>
    <row r="16" spans="2:17">
      <c r="B16" s="62"/>
      <c r="C16" s="17" t="s">
        <v>78</v>
      </c>
      <c r="D16" s="20">
        <f>'Market Inputs '!H5</f>
        <v>2.9600000000000001E-2</v>
      </c>
      <c r="E16" s="40" t="s">
        <v>79</v>
      </c>
      <c r="H16" s="59"/>
      <c r="I16" s="34"/>
      <c r="J16" s="59"/>
      <c r="Q16" s="82"/>
    </row>
    <row r="17" spans="2:17">
      <c r="B17" s="62"/>
      <c r="C17" s="17" t="s">
        <v>80</v>
      </c>
      <c r="D17" s="20">
        <f>'Market Inputs '!H9</f>
        <v>0.1202</v>
      </c>
      <c r="E17" s="40" t="s">
        <v>81</v>
      </c>
      <c r="H17" s="59"/>
      <c r="I17" s="34"/>
      <c r="J17" s="59"/>
      <c r="Q17" s="82"/>
    </row>
    <row r="18" spans="2:17">
      <c r="B18" s="62"/>
      <c r="D18" s="40"/>
      <c r="E18" s="40"/>
      <c r="F18" s="40"/>
      <c r="G18" s="40"/>
      <c r="H18" s="40"/>
      <c r="I18" s="40"/>
      <c r="J18" s="36"/>
      <c r="Q18" s="82"/>
    </row>
    <row r="19" spans="2:17">
      <c r="B19" s="62"/>
      <c r="Q19" s="82"/>
    </row>
    <row r="20" spans="2:17">
      <c r="B20" s="62"/>
      <c r="C20" s="96" t="s">
        <v>83</v>
      </c>
      <c r="D20" s="96" t="s">
        <v>84</v>
      </c>
      <c r="E20" s="96" t="s">
        <v>85</v>
      </c>
      <c r="F20" s="96" t="s">
        <v>86</v>
      </c>
      <c r="G20" s="96" t="s">
        <v>87</v>
      </c>
      <c r="H20" s="96" t="s">
        <v>88</v>
      </c>
      <c r="I20" s="26" t="s">
        <v>82</v>
      </c>
      <c r="J20" s="96" t="s">
        <v>90</v>
      </c>
      <c r="K20" s="96" t="s">
        <v>91</v>
      </c>
      <c r="L20" s="96" t="s">
        <v>92</v>
      </c>
      <c r="M20" s="96" t="s">
        <v>71</v>
      </c>
      <c r="N20" s="97" t="s">
        <v>93</v>
      </c>
      <c r="O20" s="111"/>
      <c r="Q20" s="82"/>
    </row>
    <row r="21" spans="2:17">
      <c r="B21" s="62"/>
      <c r="C21" s="28">
        <f t="shared" ref="C21:C29" si="0">(I21-$D$15)/365</f>
        <v>0</v>
      </c>
      <c r="D21" s="28"/>
      <c r="E21" s="28"/>
      <c r="F21" s="29"/>
      <c r="G21" s="28"/>
      <c r="H21" s="29"/>
      <c r="I21" s="30">
        <f>D15</f>
        <v>45657</v>
      </c>
      <c r="J21" s="28"/>
      <c r="K21" s="28"/>
      <c r="L21" s="28">
        <f>D11</f>
        <v>99544.88</v>
      </c>
      <c r="M21" s="28"/>
      <c r="N21" s="28">
        <f>D7</f>
        <v>900000.08</v>
      </c>
      <c r="Q21" s="82"/>
    </row>
    <row r="22" spans="2:17">
      <c r="B22" s="62"/>
      <c r="C22" s="28">
        <f t="shared" si="0"/>
        <v>0.36164383561643837</v>
      </c>
      <c r="D22" s="31">
        <v>4.1770260320921737E-2</v>
      </c>
      <c r="E22" s="31">
        <f t="shared" ref="E22:E29" si="1">$D$17+$D$16+D22</f>
        <v>0.19157026032092173</v>
      </c>
      <c r="F22" s="29">
        <f>SUM(J22,K22,M22)</f>
        <v>168320.63278465753</v>
      </c>
      <c r="G22" s="28">
        <f>1/(1+E22)^(C22)</f>
        <v>0.93858108095553072</v>
      </c>
      <c r="H22" s="29">
        <f>F22*G22</f>
        <v>157982.5614661428</v>
      </c>
      <c r="I22" s="30">
        <f>WORKDAY(C45-1, 1, 'Market Inputs '!$B$23:$B$36)</f>
        <v>45789</v>
      </c>
      <c r="J22" s="28">
        <f>(I22-I21)/365*$D$9*(N21+L21)</f>
        <v>43377.512784657534</v>
      </c>
      <c r="K22" s="28">
        <f>$D$11/8</f>
        <v>12443.11</v>
      </c>
      <c r="L22" s="28">
        <f>L21-K22</f>
        <v>87101.77</v>
      </c>
      <c r="M22" s="28">
        <f>$N$21/8</f>
        <v>112500.01</v>
      </c>
      <c r="N22" s="28">
        <f>N21-M22</f>
        <v>787500.07</v>
      </c>
      <c r="O22" s="34"/>
      <c r="Q22" s="82"/>
    </row>
    <row r="23" spans="2:17">
      <c r="B23" s="62"/>
      <c r="C23" s="28">
        <f t="shared" si="0"/>
        <v>0.86027397260273974</v>
      </c>
      <c r="D23" s="31">
        <v>4.1607734613393808E-2</v>
      </c>
      <c r="E23" s="31">
        <f t="shared" si="1"/>
        <v>0.1914077346133938</v>
      </c>
      <c r="F23" s="29">
        <f t="shared" ref="F23:F29" si="2">SUM(J23,K23,M23)</f>
        <v>177275.46023452055</v>
      </c>
      <c r="G23" s="28">
        <f t="shared" ref="G23:G29" si="3">1/(1+E23)^(C23)</f>
        <v>0.86013615746981242</v>
      </c>
      <c r="H23" s="29">
        <f>F23*G23</f>
        <v>152481.03317981304</v>
      </c>
      <c r="I23" s="30">
        <f>WORKDAY(C46-1, 1, 'Market Inputs '!$B$23:$B$36)</f>
        <v>45971</v>
      </c>
      <c r="J23" s="28">
        <f t="shared" ref="J23:J29" si="4">(I23-I22)/365*$D$9*(N22+L22)</f>
        <v>52332.340234520547</v>
      </c>
      <c r="K23" s="28">
        <f t="shared" ref="K23:K29" si="5">$D$11/8</f>
        <v>12443.11</v>
      </c>
      <c r="L23" s="28">
        <f>L22-K23</f>
        <v>74658.66</v>
      </c>
      <c r="M23" s="28">
        <f t="shared" ref="M23:M29" si="6">$N$21/8</f>
        <v>112500.01</v>
      </c>
      <c r="N23" s="28">
        <f t="shared" ref="N23:N29" si="7">N22-M23</f>
        <v>675000.05999999994</v>
      </c>
      <c r="Q23" s="82"/>
    </row>
    <row r="24" spans="2:17">
      <c r="B24" s="62"/>
      <c r="C24" s="28">
        <f t="shared" si="0"/>
        <v>1.3589041095890411</v>
      </c>
      <c r="D24" s="31">
        <v>4.1462451773460363E-2</v>
      </c>
      <c r="E24" s="31">
        <f t="shared" si="1"/>
        <v>0.19126245177346035</v>
      </c>
      <c r="F24" s="29">
        <f t="shared" si="2"/>
        <v>169799.41162958904</v>
      </c>
      <c r="G24" s="28">
        <f t="shared" si="3"/>
        <v>0.78833926757327133</v>
      </c>
      <c r="H24" s="29">
        <f t="shared" ref="H24:H29" si="8">F24*G24</f>
        <v>133859.54379844264</v>
      </c>
      <c r="I24" s="30">
        <f>WORKDAY(C47-1, 1, 'Market Inputs '!$B$23:$B$36)</f>
        <v>46153</v>
      </c>
      <c r="J24" s="28">
        <f t="shared" si="4"/>
        <v>44856.291629589039</v>
      </c>
      <c r="K24" s="28">
        <f t="shared" si="5"/>
        <v>12443.11</v>
      </c>
      <c r="L24" s="28">
        <f t="shared" ref="L24:L29" si="9">L23-K24</f>
        <v>62215.55</v>
      </c>
      <c r="M24" s="28">
        <f t="shared" si="6"/>
        <v>112500.01</v>
      </c>
      <c r="N24" s="28">
        <f t="shared" si="7"/>
        <v>562500.04999999993</v>
      </c>
      <c r="Q24" s="82"/>
    </row>
    <row r="25" spans="2:17">
      <c r="B25" s="62"/>
      <c r="C25" s="28">
        <f t="shared" si="0"/>
        <v>1.8575342465753424</v>
      </c>
      <c r="D25" s="31">
        <v>4.1332685641243858E-2</v>
      </c>
      <c r="E25" s="31">
        <f t="shared" si="1"/>
        <v>0.19113268564124386</v>
      </c>
      <c r="F25" s="29">
        <f t="shared" si="2"/>
        <v>162323.36302465753</v>
      </c>
      <c r="G25" s="28">
        <f t="shared" si="3"/>
        <v>0.72260578565514089</v>
      </c>
      <c r="H25" s="29">
        <f t="shared" si="8"/>
        <v>117295.8012686173</v>
      </c>
      <c r="I25" s="30">
        <f>WORKDAY(C48-1, 1, 'Market Inputs '!$B$23:$B$36)</f>
        <v>46335</v>
      </c>
      <c r="J25" s="28">
        <f t="shared" si="4"/>
        <v>37380.243024657531</v>
      </c>
      <c r="K25" s="28">
        <f t="shared" si="5"/>
        <v>12443.11</v>
      </c>
      <c r="L25" s="28">
        <f t="shared" si="9"/>
        <v>49772.44</v>
      </c>
      <c r="M25" s="28">
        <f t="shared" si="6"/>
        <v>112500.01</v>
      </c>
      <c r="N25" s="28">
        <f t="shared" si="7"/>
        <v>450000.03999999992</v>
      </c>
      <c r="Q25" s="82"/>
    </row>
    <row r="26" spans="2:17">
      <c r="B26" s="62"/>
      <c r="C26" s="28">
        <f t="shared" si="0"/>
        <v>2.3561643835616439</v>
      </c>
      <c r="D26" s="31">
        <v>4.1216873581929193E-2</v>
      </c>
      <c r="E26" s="31">
        <f t="shared" si="1"/>
        <v>0.19101687358192918</v>
      </c>
      <c r="F26" s="29">
        <f t="shared" si="2"/>
        <v>154847.31441972603</v>
      </c>
      <c r="G26" s="28">
        <f t="shared" si="3"/>
        <v>0.66240700143869435</v>
      </c>
      <c r="H26" s="29">
        <f t="shared" si="8"/>
        <v>102571.94522560542</v>
      </c>
      <c r="I26" s="30">
        <f>WORKDAY(C49-1, 1, 'Market Inputs '!$B$23:$B$36)</f>
        <v>46517</v>
      </c>
      <c r="J26" s="28">
        <f t="shared" si="4"/>
        <v>29904.194419726024</v>
      </c>
      <c r="K26" s="28">
        <f t="shared" si="5"/>
        <v>12443.11</v>
      </c>
      <c r="L26" s="28">
        <f t="shared" si="9"/>
        <v>37329.33</v>
      </c>
      <c r="M26" s="28">
        <f t="shared" si="6"/>
        <v>112500.01</v>
      </c>
      <c r="N26" s="28">
        <f t="shared" si="7"/>
        <v>337500.02999999991</v>
      </c>
      <c r="Q26" s="82"/>
    </row>
    <row r="27" spans="2:17">
      <c r="B27" s="62"/>
      <c r="C27" s="28">
        <f t="shared" si="0"/>
        <v>2.8575342465753426</v>
      </c>
      <c r="D27" s="31">
        <v>4.1113066165605963E-2</v>
      </c>
      <c r="E27" s="31">
        <f t="shared" si="1"/>
        <v>0.19091306616560594</v>
      </c>
      <c r="F27" s="29">
        <f t="shared" si="2"/>
        <v>147494.49738520547</v>
      </c>
      <c r="G27" s="28">
        <f t="shared" si="3"/>
        <v>0.60697405751497946</v>
      </c>
      <c r="H27" s="29">
        <f t="shared" si="8"/>
        <v>89525.333539030689</v>
      </c>
      <c r="I27" s="30">
        <f>WORKDAY(C50-1, 1, 'Market Inputs '!$B$23:$B$36)</f>
        <v>46700</v>
      </c>
      <c r="J27" s="28">
        <f t="shared" si="4"/>
        <v>22551.377385205476</v>
      </c>
      <c r="K27" s="28">
        <f t="shared" si="5"/>
        <v>12443.11</v>
      </c>
      <c r="L27" s="28">
        <f t="shared" si="9"/>
        <v>24886.22</v>
      </c>
      <c r="M27" s="28">
        <f t="shared" si="6"/>
        <v>112500.01</v>
      </c>
      <c r="N27" s="28">
        <f t="shared" si="7"/>
        <v>225000.0199999999</v>
      </c>
      <c r="Q27" s="82"/>
    </row>
    <row r="28" spans="2:17">
      <c r="B28" s="62"/>
      <c r="C28" s="28">
        <f t="shared" si="0"/>
        <v>3.3561643835616439</v>
      </c>
      <c r="D28" s="31">
        <v>4.1021112847817426E-2</v>
      </c>
      <c r="E28" s="31">
        <f t="shared" si="1"/>
        <v>0.19082111284781741</v>
      </c>
      <c r="F28" s="29">
        <f t="shared" si="2"/>
        <v>139895.21720986301</v>
      </c>
      <c r="G28" s="28">
        <f t="shared" si="3"/>
        <v>0.55647619534752446</v>
      </c>
      <c r="H28" s="29">
        <f t="shared" si="8"/>
        <v>77848.358220260096</v>
      </c>
      <c r="I28" s="30">
        <f>WORKDAY(C51-1, 1, 'Market Inputs '!$B$23:$B$36)</f>
        <v>46882</v>
      </c>
      <c r="J28" s="28">
        <f t="shared" si="4"/>
        <v>14952.097209863008</v>
      </c>
      <c r="K28" s="28">
        <f t="shared" si="5"/>
        <v>12443.11</v>
      </c>
      <c r="L28" s="28">
        <f>L27-K28</f>
        <v>12443.11</v>
      </c>
      <c r="M28" s="28">
        <f t="shared" si="6"/>
        <v>112500.01</v>
      </c>
      <c r="N28" s="28">
        <f t="shared" si="7"/>
        <v>112500.00999999991</v>
      </c>
      <c r="Q28" s="82"/>
    </row>
    <row r="29" spans="2:17">
      <c r="B29" s="62"/>
      <c r="C29" s="28">
        <f t="shared" si="0"/>
        <v>3.8575342465753426</v>
      </c>
      <c r="D29" s="31">
        <v>4.0938832632607822E-2</v>
      </c>
      <c r="E29" s="31">
        <f t="shared" si="1"/>
        <v>0.19073883263260782</v>
      </c>
      <c r="F29" s="29">
        <f t="shared" si="2"/>
        <v>132460.24579506848</v>
      </c>
      <c r="G29" s="28">
        <f t="shared" si="3"/>
        <v>0.50995891517592318</v>
      </c>
      <c r="H29" s="29">
        <f t="shared" si="8"/>
        <v>67549.283249589265</v>
      </c>
      <c r="I29" s="30">
        <f>WORKDAY(C52-1, 1, 'Market Inputs '!$B$23:$B$36)</f>
        <v>47065</v>
      </c>
      <c r="J29" s="28">
        <f t="shared" si="4"/>
        <v>7517.1257950684876</v>
      </c>
      <c r="K29" s="28">
        <f t="shared" si="5"/>
        <v>12443.11</v>
      </c>
      <c r="L29" s="28">
        <f t="shared" si="9"/>
        <v>0</v>
      </c>
      <c r="M29" s="28">
        <f t="shared" si="6"/>
        <v>112500.01</v>
      </c>
      <c r="N29" s="28">
        <f t="shared" si="7"/>
        <v>0</v>
      </c>
      <c r="Q29" s="82"/>
    </row>
    <row r="30" spans="2:17">
      <c r="B30" s="62"/>
      <c r="C30" s="34"/>
      <c r="D30" s="34"/>
      <c r="E30" s="34"/>
      <c r="F30" s="39"/>
      <c r="G30" s="34"/>
      <c r="H30" s="39"/>
      <c r="I30" s="40"/>
      <c r="J30" s="34"/>
      <c r="K30" s="34"/>
      <c r="L30" s="34"/>
      <c r="M30" s="34"/>
      <c r="Q30" s="82"/>
    </row>
    <row r="31" spans="2:17">
      <c r="B31" s="62"/>
      <c r="C31" s="34"/>
      <c r="D31" s="34"/>
      <c r="E31" s="34"/>
      <c r="F31" s="39"/>
      <c r="G31" s="34"/>
      <c r="H31" s="39"/>
      <c r="I31" s="40"/>
      <c r="J31" s="34"/>
      <c r="K31" s="34"/>
      <c r="L31" s="34"/>
      <c r="M31" s="34"/>
      <c r="Q31" s="82"/>
    </row>
    <row r="32" spans="2:17">
      <c r="B32" s="62"/>
      <c r="C32" s="16" t="s">
        <v>64</v>
      </c>
      <c r="D32" s="43">
        <f>SUM(H22:H29)</f>
        <v>899113.85994750133</v>
      </c>
      <c r="E32" s="40"/>
      <c r="F32" s="34"/>
      <c r="G32" s="34"/>
      <c r="H32" s="34"/>
      <c r="Q32" s="82"/>
    </row>
    <row r="33" spans="2:17">
      <c r="B33" s="62"/>
      <c r="C33" s="16" t="s">
        <v>94</v>
      </c>
      <c r="D33" s="43">
        <f>D7+D11</f>
        <v>999544.96</v>
      </c>
      <c r="E33" s="40"/>
      <c r="F33" s="34"/>
      <c r="G33" s="34"/>
      <c r="H33" s="34"/>
      <c r="Q33" s="82"/>
    </row>
    <row r="34" spans="2:17">
      <c r="B34" s="62"/>
      <c r="C34" s="16" t="s">
        <v>65</v>
      </c>
      <c r="D34" s="43">
        <f>D32-D33</f>
        <v>-100431.10005249863</v>
      </c>
      <c r="E34" s="40"/>
      <c r="Q34" s="82"/>
    </row>
    <row r="35" spans="2:17">
      <c r="B35" s="62"/>
      <c r="H35" s="63"/>
      <c r="M35" s="64"/>
      <c r="Q35" s="82"/>
    </row>
    <row r="36" spans="2:17">
      <c r="B36" s="62"/>
      <c r="C36" s="16"/>
      <c r="D36" s="41" t="s">
        <v>67</v>
      </c>
      <c r="E36" s="41" t="s">
        <v>95</v>
      </c>
      <c r="F36" s="42" t="s">
        <v>96</v>
      </c>
      <c r="G36" s="56"/>
      <c r="Q36" s="82"/>
    </row>
    <row r="37" spans="2:17">
      <c r="B37" s="62"/>
      <c r="C37" s="16" t="s">
        <v>97</v>
      </c>
      <c r="D37" s="43">
        <f>D32</f>
        <v>899113.85994750133</v>
      </c>
      <c r="E37" s="16">
        <f>'Market Inputs '!H8</f>
        <v>25.798500000000001</v>
      </c>
      <c r="F37" s="45">
        <f>D37*E37</f>
        <v>23195788.915855613</v>
      </c>
      <c r="Q37" s="82"/>
    </row>
    <row r="38" spans="2:17">
      <c r="B38" s="62"/>
      <c r="C38" s="16" t="s">
        <v>98</v>
      </c>
      <c r="D38" s="43">
        <f>D33</f>
        <v>999544.96</v>
      </c>
      <c r="E38" s="16">
        <f>'Market Inputs '!H8</f>
        <v>25.798500000000001</v>
      </c>
      <c r="F38" s="45">
        <f>D38*E38</f>
        <v>25786760.650559999</v>
      </c>
      <c r="Q38" s="82"/>
    </row>
    <row r="39" spans="2:17">
      <c r="B39" s="62"/>
      <c r="C39" s="16"/>
      <c r="D39" s="16"/>
      <c r="E39" s="16"/>
      <c r="F39" s="127">
        <f>F37-F38</f>
        <v>-2590971.7347043864</v>
      </c>
      <c r="Q39" s="82"/>
    </row>
    <row r="40" spans="2:17">
      <c r="B40" s="62"/>
      <c r="Q40" s="82"/>
    </row>
    <row r="41" spans="2:17">
      <c r="B41" s="62"/>
      <c r="Q41" s="82"/>
    </row>
    <row r="42" spans="2:17">
      <c r="B42" s="62"/>
      <c r="C42" s="16" t="s">
        <v>99</v>
      </c>
      <c r="Q42" s="82"/>
    </row>
    <row r="43" spans="2:17">
      <c r="B43" s="62"/>
      <c r="C43" s="30">
        <f>D13+(365/2)</f>
        <v>45422.5</v>
      </c>
      <c r="Q43" s="82"/>
    </row>
    <row r="44" spans="2:17">
      <c r="B44" s="62"/>
      <c r="C44" s="30">
        <f>C43+(365/2)</f>
        <v>45605</v>
      </c>
      <c r="Q44" s="82"/>
    </row>
    <row r="45" spans="2:17">
      <c r="B45" s="62"/>
      <c r="C45" s="30">
        <f t="shared" ref="C45:C52" si="10">C44+(365/2)</f>
        <v>45787.5</v>
      </c>
      <c r="Q45" s="82"/>
    </row>
    <row r="46" spans="2:17">
      <c r="B46" s="62"/>
      <c r="C46" s="30">
        <f t="shared" si="10"/>
        <v>45970</v>
      </c>
      <c r="Q46" s="82"/>
    </row>
    <row r="47" spans="2:17">
      <c r="B47" s="62"/>
      <c r="C47" s="30">
        <f t="shared" si="10"/>
        <v>46152.5</v>
      </c>
      <c r="Q47" s="82"/>
    </row>
    <row r="48" spans="2:17">
      <c r="B48" s="62"/>
      <c r="C48" s="30">
        <f t="shared" si="10"/>
        <v>46335</v>
      </c>
      <c r="Q48" s="82"/>
    </row>
    <row r="49" spans="2:17">
      <c r="B49" s="62"/>
      <c r="C49" s="30">
        <f t="shared" si="10"/>
        <v>46517.5</v>
      </c>
      <c r="Q49" s="82"/>
    </row>
    <row r="50" spans="2:17">
      <c r="B50" s="62"/>
      <c r="C50" s="30">
        <f t="shared" si="10"/>
        <v>46700</v>
      </c>
      <c r="Q50" s="82"/>
    </row>
    <row r="51" spans="2:17">
      <c r="B51" s="62"/>
      <c r="C51" s="30">
        <f t="shared" si="10"/>
        <v>46882.5</v>
      </c>
      <c r="Q51" s="82"/>
    </row>
    <row r="52" spans="2:17">
      <c r="B52" s="62"/>
      <c r="C52" s="30">
        <f t="shared" si="10"/>
        <v>47065</v>
      </c>
      <c r="Q52" s="82"/>
    </row>
    <row r="53" spans="2:17">
      <c r="B53" s="62"/>
      <c r="Q53" s="82"/>
    </row>
    <row r="54" spans="2:17">
      <c r="B54" s="62"/>
      <c r="Q54" s="82"/>
    </row>
    <row r="55" spans="2:17" ht="14.45" thickBot="1">
      <c r="B55" s="84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85"/>
    </row>
    <row r="56" spans="2:17" ht="14.45" thickTop="1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CB59-F1B2-4F8C-8E0E-D0B6572152CD}">
  <sheetPr codeName="Sheet10"/>
  <dimension ref="B3:O40"/>
  <sheetViews>
    <sheetView showGridLines="0" topLeftCell="A3" zoomScale="60" workbookViewId="0">
      <selection activeCell="L21" sqref="L21"/>
    </sheetView>
  </sheetViews>
  <sheetFormatPr defaultColWidth="8.75" defaultRowHeight="13.9"/>
  <cols>
    <col min="1" max="2" width="8.75" style="38"/>
    <col min="3" max="3" width="30" style="38" bestFit="1" customWidth="1"/>
    <col min="4" max="4" width="14.25" style="38" customWidth="1"/>
    <col min="5" max="5" width="9" style="38" bestFit="1" customWidth="1"/>
    <col min="6" max="6" width="13.75" style="38" bestFit="1" customWidth="1"/>
    <col min="7" max="7" width="9" style="38" bestFit="1" customWidth="1"/>
    <col min="8" max="8" width="13" style="38" bestFit="1" customWidth="1"/>
    <col min="9" max="9" width="13.75" style="38" bestFit="1" customWidth="1"/>
    <col min="10" max="10" width="9.75" style="38" bestFit="1" customWidth="1"/>
    <col min="11" max="11" width="16" style="38" bestFit="1" customWidth="1"/>
    <col min="12" max="12" width="16" style="38" customWidth="1"/>
    <col min="13" max="14" width="12" style="38" bestFit="1" customWidth="1"/>
    <col min="15" max="16384" width="8.75" style="38"/>
  </cols>
  <sheetData>
    <row r="3" spans="2:15">
      <c r="F3" s="63"/>
    </row>
    <row r="4" spans="2:15" ht="14.45" thickBot="1">
      <c r="F4" s="70"/>
    </row>
    <row r="5" spans="2:15" ht="14.45" thickTop="1">
      <c r="B5" s="49"/>
      <c r="C5" s="50"/>
      <c r="D5" s="50"/>
      <c r="E5" s="50"/>
      <c r="F5" s="51"/>
      <c r="G5" s="50"/>
      <c r="H5" s="50"/>
      <c r="I5" s="50"/>
      <c r="J5" s="50"/>
      <c r="K5" s="50"/>
      <c r="L5" s="50"/>
      <c r="M5" s="50"/>
      <c r="N5" s="50"/>
      <c r="O5" s="81"/>
    </row>
    <row r="6" spans="2:15">
      <c r="B6" s="62"/>
      <c r="C6" s="16" t="s">
        <v>55</v>
      </c>
      <c r="D6" s="17" t="s">
        <v>125</v>
      </c>
      <c r="O6" s="82"/>
    </row>
    <row r="7" spans="2:15">
      <c r="B7" s="62"/>
      <c r="C7" s="16" t="s">
        <v>71</v>
      </c>
      <c r="D7" s="19">
        <v>200000</v>
      </c>
      <c r="I7" s="32"/>
      <c r="O7" s="82"/>
    </row>
    <row r="8" spans="2:15">
      <c r="B8" s="62"/>
      <c r="C8" s="16" t="s">
        <v>57</v>
      </c>
      <c r="D8" s="17" t="s">
        <v>68</v>
      </c>
      <c r="O8" s="82"/>
    </row>
    <row r="9" spans="2:15">
      <c r="B9" s="62"/>
      <c r="C9" s="16" t="s">
        <v>72</v>
      </c>
      <c r="D9" s="20">
        <v>0.1</v>
      </c>
      <c r="G9" s="56"/>
      <c r="H9" s="57"/>
      <c r="I9" s="33"/>
      <c r="J9" s="54"/>
      <c r="O9" s="82"/>
    </row>
    <row r="10" spans="2:15">
      <c r="B10" s="62"/>
      <c r="C10" s="16" t="s">
        <v>73</v>
      </c>
      <c r="D10" s="21" t="s">
        <v>74</v>
      </c>
      <c r="G10" s="56"/>
      <c r="H10" s="58"/>
      <c r="I10" s="34"/>
      <c r="J10" s="59"/>
      <c r="O10" s="82"/>
    </row>
    <row r="11" spans="2:15">
      <c r="B11" s="62"/>
      <c r="C11" s="16" t="str">
        <f>'[1]Richaw $5m'!A12</f>
        <v>Interest Accrued to 31 December 2024</v>
      </c>
      <c r="D11" s="114">
        <v>3068.49</v>
      </c>
      <c r="E11" s="38" t="s">
        <v>76</v>
      </c>
      <c r="F11" s="35"/>
      <c r="G11" s="60"/>
      <c r="H11" s="59"/>
      <c r="I11" s="34"/>
      <c r="J11" s="59"/>
      <c r="O11" s="82"/>
    </row>
    <row r="12" spans="2:15">
      <c r="B12" s="62"/>
      <c r="C12" s="16" t="s">
        <v>59</v>
      </c>
      <c r="D12" s="18">
        <f>D13+(0.5*365)</f>
        <v>45783.5</v>
      </c>
      <c r="F12" s="34"/>
      <c r="G12" s="61"/>
      <c r="H12" s="59"/>
      <c r="I12" s="34"/>
      <c r="J12" s="59"/>
      <c r="O12" s="82"/>
    </row>
    <row r="13" spans="2:15">
      <c r="B13" s="62"/>
      <c r="C13" s="16" t="s">
        <v>58</v>
      </c>
      <c r="D13" s="18">
        <v>45601</v>
      </c>
      <c r="E13" s="58"/>
      <c r="F13" s="59"/>
      <c r="G13" s="59"/>
      <c r="H13" s="59"/>
      <c r="I13" s="59"/>
      <c r="J13" s="59"/>
      <c r="O13" s="82"/>
    </row>
    <row r="14" spans="2:15">
      <c r="B14" s="62"/>
      <c r="C14" s="16" t="s">
        <v>77</v>
      </c>
      <c r="D14" s="18">
        <f>D12</f>
        <v>45783.5</v>
      </c>
      <c r="E14" s="58"/>
      <c r="F14" s="40"/>
      <c r="G14" s="40"/>
      <c r="H14" s="40"/>
      <c r="I14" s="40"/>
      <c r="J14" s="34"/>
      <c r="O14" s="82"/>
    </row>
    <row r="15" spans="2:15">
      <c r="B15" s="62"/>
      <c r="C15" s="16" t="s">
        <v>70</v>
      </c>
      <c r="D15" s="18">
        <v>45657</v>
      </c>
      <c r="H15" s="59"/>
      <c r="I15" s="34"/>
      <c r="J15" s="59"/>
      <c r="O15" s="82"/>
    </row>
    <row r="16" spans="2:15">
      <c r="B16" s="62"/>
      <c r="C16" s="16" t="s">
        <v>78</v>
      </c>
      <c r="D16" s="20">
        <f>'Market Inputs '!H5</f>
        <v>2.9600000000000001E-2</v>
      </c>
      <c r="E16" s="40" t="s">
        <v>79</v>
      </c>
      <c r="H16" s="59"/>
      <c r="I16" s="34"/>
      <c r="J16" s="59"/>
      <c r="O16" s="82"/>
    </row>
    <row r="17" spans="2:15">
      <c r="B17" s="62"/>
      <c r="C17" s="16" t="s">
        <v>80</v>
      </c>
      <c r="D17" s="20">
        <f>'Market Inputs '!H9</f>
        <v>0.1202</v>
      </c>
      <c r="E17" s="40" t="s">
        <v>81</v>
      </c>
      <c r="H17" s="59"/>
      <c r="I17" s="34"/>
      <c r="J17" s="59"/>
      <c r="O17" s="82"/>
    </row>
    <row r="18" spans="2:15">
      <c r="B18" s="62"/>
      <c r="D18" s="40"/>
      <c r="E18" s="40"/>
      <c r="F18" s="40"/>
      <c r="G18" s="40"/>
      <c r="H18" s="40"/>
      <c r="I18" s="40"/>
      <c r="J18" s="36"/>
      <c r="O18" s="82"/>
    </row>
    <row r="19" spans="2:15">
      <c r="B19" s="62"/>
      <c r="O19" s="82"/>
    </row>
    <row r="20" spans="2:15">
      <c r="B20" s="62"/>
      <c r="C20" s="96" t="s">
        <v>83</v>
      </c>
      <c r="D20" s="96" t="s">
        <v>84</v>
      </c>
      <c r="E20" s="96" t="s">
        <v>85</v>
      </c>
      <c r="F20" s="96" t="s">
        <v>86</v>
      </c>
      <c r="G20" s="96" t="s">
        <v>87</v>
      </c>
      <c r="H20" s="96" t="s">
        <v>88</v>
      </c>
      <c r="I20" s="26" t="s">
        <v>82</v>
      </c>
      <c r="J20" s="96" t="s">
        <v>90</v>
      </c>
      <c r="K20" s="96" t="s">
        <v>91</v>
      </c>
      <c r="L20" s="96" t="s">
        <v>92</v>
      </c>
      <c r="M20" s="96" t="s">
        <v>71</v>
      </c>
      <c r="N20" s="97" t="s">
        <v>93</v>
      </c>
      <c r="O20" s="82"/>
    </row>
    <row r="21" spans="2:15">
      <c r="B21" s="62"/>
      <c r="C21" s="28">
        <f t="shared" ref="C21" si="0">(I21-$D$15)/365</f>
        <v>0</v>
      </c>
      <c r="D21" s="28"/>
      <c r="E21" s="28"/>
      <c r="F21" s="29"/>
      <c r="G21" s="28"/>
      <c r="H21" s="29"/>
      <c r="I21" s="30">
        <f>D15</f>
        <v>45657</v>
      </c>
      <c r="J21" s="28"/>
      <c r="K21" s="28"/>
      <c r="L21" s="28">
        <f>D11</f>
        <v>3068.49</v>
      </c>
      <c r="M21" s="28"/>
      <c r="N21" s="28">
        <f>D7</f>
        <v>200000</v>
      </c>
      <c r="O21" s="82"/>
    </row>
    <row r="22" spans="2:15">
      <c r="B22" s="62"/>
      <c r="C22" s="28">
        <f>(I22-$D$15)/365</f>
        <v>0.34520547945205482</v>
      </c>
      <c r="D22" s="31">
        <v>4.1775933367613198E-2</v>
      </c>
      <c r="E22" s="31">
        <f>$D$17+$D$16+D22</f>
        <v>0.19157593336761319</v>
      </c>
      <c r="F22" s="29">
        <f>SUM(J22,K22,M22)</f>
        <v>210078.52554520548</v>
      </c>
      <c r="G22" s="31">
        <f>1/(1+E22)^(C22)</f>
        <v>0.9412876574932012</v>
      </c>
      <c r="H22" s="29">
        <f>F22*G22</f>
        <v>197744.3232000721</v>
      </c>
      <c r="I22" s="30">
        <f>WORKDAY(D12-1, 1, 'Market Inputs '!$B$23:$B$36)</f>
        <v>45783</v>
      </c>
      <c r="J22" s="28">
        <f>(I22-I21)/365*$D$9*(N21+L21)</f>
        <v>7010.03554520548</v>
      </c>
      <c r="K22" s="28">
        <f>D11/1</f>
        <v>3068.49</v>
      </c>
      <c r="L22" s="28">
        <f>L21-K22</f>
        <v>0</v>
      </c>
      <c r="M22" s="28">
        <f>$N$21</f>
        <v>200000</v>
      </c>
      <c r="N22" s="28">
        <f>N21-M22</f>
        <v>0</v>
      </c>
      <c r="O22" s="118"/>
    </row>
    <row r="23" spans="2:15">
      <c r="B23" s="62"/>
      <c r="C23" s="34"/>
      <c r="D23" s="34"/>
      <c r="E23" s="34"/>
      <c r="F23" s="39"/>
      <c r="G23" s="34"/>
      <c r="H23" s="39"/>
      <c r="I23" s="40"/>
      <c r="J23" s="34"/>
      <c r="K23" s="34"/>
      <c r="L23" s="34"/>
      <c r="M23" s="34"/>
      <c r="N23" s="34"/>
      <c r="O23" s="82"/>
    </row>
    <row r="24" spans="2:15">
      <c r="B24" s="62"/>
      <c r="C24" s="34"/>
      <c r="D24" s="34"/>
      <c r="E24" s="34"/>
      <c r="F24" s="39"/>
      <c r="G24" s="34"/>
      <c r="H24" s="39"/>
      <c r="I24" s="40"/>
      <c r="J24" s="34"/>
      <c r="K24" s="34"/>
      <c r="L24" s="34"/>
      <c r="M24" s="34"/>
      <c r="N24" s="34"/>
      <c r="O24" s="82"/>
    </row>
    <row r="25" spans="2:15">
      <c r="B25" s="62"/>
      <c r="C25" s="16" t="s">
        <v>64</v>
      </c>
      <c r="D25" s="43">
        <f>SUM(H22)</f>
        <v>197744.3232000721</v>
      </c>
      <c r="E25" s="40"/>
      <c r="F25" s="34"/>
      <c r="G25" s="34"/>
      <c r="H25" s="34"/>
      <c r="I25" s="34"/>
      <c r="O25" s="82"/>
    </row>
    <row r="26" spans="2:15">
      <c r="B26" s="62"/>
      <c r="C26" s="16" t="s">
        <v>94</v>
      </c>
      <c r="D26" s="43">
        <f>D7+D11</f>
        <v>203068.49</v>
      </c>
      <c r="E26" s="40"/>
      <c r="F26" s="34"/>
      <c r="G26" s="34"/>
      <c r="H26" s="34"/>
      <c r="I26" s="34"/>
      <c r="O26" s="82"/>
    </row>
    <row r="27" spans="2:15">
      <c r="B27" s="62"/>
      <c r="C27" s="16" t="s">
        <v>65</v>
      </c>
      <c r="D27" s="43">
        <f>D25-D26</f>
        <v>-5324.166799927887</v>
      </c>
      <c r="E27" s="40"/>
      <c r="O27" s="82"/>
    </row>
    <row r="28" spans="2:15">
      <c r="B28" s="62"/>
      <c r="D28" s="70"/>
      <c r="E28" s="40"/>
      <c r="O28" s="82"/>
    </row>
    <row r="29" spans="2:15">
      <c r="B29" s="62"/>
      <c r="H29" s="63"/>
      <c r="N29" s="64"/>
      <c r="O29" s="82"/>
    </row>
    <row r="30" spans="2:15">
      <c r="B30" s="62"/>
      <c r="C30" s="16"/>
      <c r="D30" s="41" t="s">
        <v>67</v>
      </c>
      <c r="E30" s="41" t="s">
        <v>95</v>
      </c>
      <c r="F30" s="42" t="s">
        <v>96</v>
      </c>
      <c r="G30" s="56"/>
      <c r="O30" s="82"/>
    </row>
    <row r="31" spans="2:15">
      <c r="B31" s="62"/>
      <c r="C31" s="16" t="s">
        <v>97</v>
      </c>
      <c r="D31" s="43">
        <f>D25</f>
        <v>197744.3232000721</v>
      </c>
      <c r="E31" s="16">
        <f>'Market Inputs '!H8</f>
        <v>25.798500000000001</v>
      </c>
      <c r="F31" s="45">
        <f>D31*E31</f>
        <v>5101506.9220770607</v>
      </c>
      <c r="O31" s="82"/>
    </row>
    <row r="32" spans="2:15">
      <c r="B32" s="62"/>
      <c r="C32" s="16" t="s">
        <v>98</v>
      </c>
      <c r="D32" s="43">
        <f>D26</f>
        <v>203068.49</v>
      </c>
      <c r="E32" s="16">
        <f>E31</f>
        <v>25.798500000000001</v>
      </c>
      <c r="F32" s="45">
        <f>D32*E32</f>
        <v>5238862.4392649997</v>
      </c>
      <c r="O32" s="82"/>
    </row>
    <row r="33" spans="2:15">
      <c r="B33" s="62"/>
      <c r="C33" s="16"/>
      <c r="D33" s="16"/>
      <c r="E33" s="16"/>
      <c r="F33" s="45">
        <f>F31-F32</f>
        <v>-137355.51718793903</v>
      </c>
      <c r="O33" s="82"/>
    </row>
    <row r="34" spans="2:15">
      <c r="B34" s="62"/>
      <c r="O34" s="82"/>
    </row>
    <row r="35" spans="2:15">
      <c r="B35" s="62"/>
      <c r="O35" s="82"/>
    </row>
    <row r="36" spans="2:15">
      <c r="B36" s="62"/>
      <c r="C36" s="69" t="s">
        <v>126</v>
      </c>
      <c r="E36" s="47"/>
      <c r="O36" s="82"/>
    </row>
    <row r="37" spans="2:15">
      <c r="B37" s="62"/>
      <c r="C37" s="38" t="s">
        <v>127</v>
      </c>
      <c r="O37" s="82"/>
    </row>
    <row r="38" spans="2:15">
      <c r="B38" s="62"/>
      <c r="O38" s="82"/>
    </row>
    <row r="39" spans="2:15" ht="14.45" thickBot="1">
      <c r="B39" s="84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85"/>
    </row>
    <row r="40" spans="2:15" ht="14.45" thickTop="1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996DB1EE7F747B797058B7D6CF4ED" ma:contentTypeVersion="11" ma:contentTypeDescription="Create a new document." ma:contentTypeScope="" ma:versionID="1d7956c12aacbbba6e428154ba088534">
  <xsd:schema xmlns:xsd="http://www.w3.org/2001/XMLSchema" xmlns:xs="http://www.w3.org/2001/XMLSchema" xmlns:p="http://schemas.microsoft.com/office/2006/metadata/properties" xmlns:ns2="1e987c18-c08e-407b-9c31-150449cbaec0" xmlns:ns3="a0220c90-0dbb-46a8-a885-55c1dd23be02" targetNamespace="http://schemas.microsoft.com/office/2006/metadata/properties" ma:root="true" ma:fieldsID="8d4c286e67b32bce2753fca03eb75998" ns2:_="" ns3:_="">
    <xsd:import namespace="1e987c18-c08e-407b-9c31-150449cbaec0"/>
    <xsd:import namespace="a0220c90-0dbb-46a8-a885-55c1dd23be0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87c18-c08e-407b-9c31-150449cbaec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a02099e-a6d5-4010-82a7-0fa6f3f849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20c90-0dbb-46a8-a885-55c1dd23be0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8c1e798-32ea-416f-9aab-ba61b62871c8}" ma:internalName="TaxCatchAll" ma:showField="CatchAllData" ma:web="a0220c90-0dbb-46a8-a885-55c1dd23be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987c18-c08e-407b-9c31-150449cbaec0">
      <Terms xmlns="http://schemas.microsoft.com/office/infopath/2007/PartnerControls"/>
    </lcf76f155ced4ddcb4097134ff3c332f>
    <TaxCatchAll xmlns="a0220c90-0dbb-46a8-a885-55c1dd23be02" xsi:nil="true"/>
  </documentManagement>
</p:properties>
</file>

<file path=customXml/itemProps1.xml><?xml version="1.0" encoding="utf-8"?>
<ds:datastoreItem xmlns:ds="http://schemas.openxmlformats.org/officeDocument/2006/customXml" ds:itemID="{0990E633-5FA3-4926-B54C-7BA53123A53E}"/>
</file>

<file path=customXml/itemProps2.xml><?xml version="1.0" encoding="utf-8"?>
<ds:datastoreItem xmlns:ds="http://schemas.openxmlformats.org/officeDocument/2006/customXml" ds:itemID="{074374A5-63DB-494F-852F-6533BAA803F3}"/>
</file>

<file path=customXml/itemProps3.xml><?xml version="1.0" encoding="utf-8"?>
<ds:datastoreItem xmlns:ds="http://schemas.openxmlformats.org/officeDocument/2006/customXml" ds:itemID="{7D7C956B-A338-4DC7-A747-CCD2E8CE04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Tinotenda Muchabaiwa</dc:creator>
  <cp:keywords/>
  <dc:description/>
  <cp:lastModifiedBy>Tinotenda Muchabaiwa</cp:lastModifiedBy>
  <cp:revision/>
  <dcterms:created xsi:type="dcterms:W3CDTF">2025-01-30T07:46:03Z</dcterms:created>
  <dcterms:modified xsi:type="dcterms:W3CDTF">2026-01-27T12:33:07Z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0x0101007CE996DB1EE7F747B797058B7D6CF4ED</vt:lpwstr>
  </property>
  <property fmtid="{D5CDD505-2E9C-101B-9397-08002B2CF9AE}" pid="3" name="MediaServiceImageTags">
    <vt:lpwstr/>
  </property>
</Properties>
</file>