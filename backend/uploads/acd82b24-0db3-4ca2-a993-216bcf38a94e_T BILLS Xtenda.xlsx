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racapital123.sharepoint.com/sites/DuraCapital/Shared Documents/Projects/Xtenda Treasury Bills and Gvt Bonds/"/>
    </mc:Choice>
  </mc:AlternateContent>
  <xr:revisionPtr revIDLastSave="925" documentId="8_{436F1946-AC10-488C-9582-80E2E724CEEE}" xr6:coauthVersionLast="47" xr6:coauthVersionMax="47" xr10:uidLastSave="{B0796EBC-495A-4186-AD04-8B7458152605}"/>
  <bookViews>
    <workbookView xWindow="-108" yWindow="-108" windowWidth="23256" windowHeight="12456" firstSheet="3" activeTab="7" xr2:uid="{E4FE4977-FF69-4170-B728-A05D86FE16F3}"/>
  </bookViews>
  <sheets>
    <sheet name="Sheet1" sheetId="1" state="hidden" r:id="rId1"/>
    <sheet name="ContractualCashflows" sheetId="2" state="hidden" r:id="rId2"/>
    <sheet name="Valuation" sheetId="4" state="hidden" r:id="rId3"/>
    <sheet name="TB ZM3000011467" sheetId="3" r:id="rId4"/>
    <sheet name="TB ZM3000011665" sheetId="5" r:id="rId5"/>
    <sheet name="TB ZM3000011822" sheetId="6" r:id="rId6"/>
    <sheet name="TB ZM3000012101 " sheetId="7" r:id="rId7"/>
    <sheet name="ECL Summar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8" l="1"/>
  <c r="G23" i="8" s="1"/>
  <c r="D14" i="8"/>
  <c r="D24" i="8" s="1"/>
  <c r="D13" i="8"/>
  <c r="D23" i="8" s="1"/>
  <c r="D12" i="8"/>
  <c r="D22" i="8" s="1"/>
  <c r="D11" i="8"/>
  <c r="D21" i="8" s="1"/>
  <c r="E14" i="8"/>
  <c r="E24" i="8" s="1"/>
  <c r="E13" i="8"/>
  <c r="E23" i="8" s="1"/>
  <c r="E12" i="8"/>
  <c r="E22" i="8" s="1"/>
  <c r="E11" i="8"/>
  <c r="E21" i="8" s="1"/>
  <c r="G14" i="8"/>
  <c r="G24" i="8" s="1"/>
  <c r="G12" i="8"/>
  <c r="G22" i="8" s="1"/>
  <c r="G11" i="8"/>
  <c r="G21" i="8" s="1"/>
  <c r="C6" i="8"/>
  <c r="O18" i="7"/>
  <c r="H14" i="8"/>
  <c r="I14" i="8" s="1"/>
  <c r="H13" i="8"/>
  <c r="I13" i="8" s="1"/>
  <c r="H12" i="8"/>
  <c r="I12" i="8" s="1"/>
  <c r="H11" i="8"/>
  <c r="I11" i="8" s="1"/>
  <c r="N18" i="7"/>
  <c r="L18" i="7"/>
  <c r="Q18" i="7" s="1"/>
  <c r="K14" i="8" s="1"/>
  <c r="N18" i="5"/>
  <c r="H18" i="7"/>
  <c r="H19" i="7"/>
  <c r="G30" i="5"/>
  <c r="G18" i="5"/>
  <c r="G19" i="5" s="1"/>
  <c r="H30" i="7"/>
  <c r="H31" i="7" s="1"/>
  <c r="H18" i="6"/>
  <c r="H30" i="6"/>
  <c r="H29" i="3"/>
  <c r="H30" i="3" s="1"/>
  <c r="H17" i="3"/>
  <c r="H18" i="3"/>
  <c r="D12" i="3"/>
  <c r="C11" i="5"/>
  <c r="D11" i="6"/>
  <c r="H31" i="6" s="1"/>
  <c r="D11" i="7"/>
  <c r="K18" i="7"/>
  <c r="I18" i="7"/>
  <c r="N30" i="7"/>
  <c r="O30" i="7" s="1"/>
  <c r="K30" i="7"/>
  <c r="I30" i="7"/>
  <c r="F30" i="7"/>
  <c r="E30" i="7"/>
  <c r="G30" i="7" s="1"/>
  <c r="N19" i="7"/>
  <c r="O19" i="7" s="1"/>
  <c r="K19" i="7"/>
  <c r="F18" i="7"/>
  <c r="E18" i="7"/>
  <c r="G18" i="7" s="1"/>
  <c r="F30" i="6"/>
  <c r="N30" i="6"/>
  <c r="O30" i="6" s="1"/>
  <c r="I30" i="6"/>
  <c r="I19" i="6"/>
  <c r="I18" i="6"/>
  <c r="H30" i="5"/>
  <c r="I29" i="3"/>
  <c r="I18" i="3"/>
  <c r="L18" i="3" s="1"/>
  <c r="I17" i="3"/>
  <c r="J30" i="5"/>
  <c r="O18" i="6"/>
  <c r="N19" i="6"/>
  <c r="O19" i="6" s="1"/>
  <c r="K18" i="6"/>
  <c r="K30" i="6"/>
  <c r="E30" i="6"/>
  <c r="G30" i="6" s="1"/>
  <c r="K19" i="6"/>
  <c r="N18" i="6"/>
  <c r="F18" i="6"/>
  <c r="E18" i="6"/>
  <c r="G18" i="6" s="1"/>
  <c r="E30" i="5"/>
  <c r="M18" i="5"/>
  <c r="M19" i="5"/>
  <c r="N19" i="5" s="1"/>
  <c r="J19" i="5"/>
  <c r="J18" i="5"/>
  <c r="D18" i="5"/>
  <c r="F18" i="5" s="1"/>
  <c r="E18" i="5"/>
  <c r="N30" i="5"/>
  <c r="G31" i="5"/>
  <c r="D30" i="5"/>
  <c r="F30" i="5" s="1"/>
  <c r="K29" i="3"/>
  <c r="O29" i="3"/>
  <c r="F29" i="3"/>
  <c r="E29" i="3"/>
  <c r="G29" i="3" s="1"/>
  <c r="O17" i="3"/>
  <c r="O18" i="3"/>
  <c r="K17" i="3"/>
  <c r="E17" i="3"/>
  <c r="G17" i="3" s="1"/>
  <c r="F17" i="3"/>
  <c r="P18" i="7" l="1"/>
  <c r="L30" i="6"/>
  <c r="Q30" i="6" s="1"/>
  <c r="K23" i="8" s="1"/>
  <c r="L18" i="6"/>
  <c r="F13" i="8" s="1"/>
  <c r="F23" i="8" s="1"/>
  <c r="Q18" i="3"/>
  <c r="L11" i="8"/>
  <c r="L29" i="3"/>
  <c r="Q29" i="3" s="1"/>
  <c r="H21" i="8"/>
  <c r="I21" i="8" s="1"/>
  <c r="H22" i="8"/>
  <c r="I22" i="8" s="1"/>
  <c r="H23" i="8"/>
  <c r="I23" i="8" s="1"/>
  <c r="H24" i="8"/>
  <c r="I24" i="8" s="1"/>
  <c r="Q19" i="7"/>
  <c r="L14" i="8" s="1"/>
  <c r="P30" i="6"/>
  <c r="P18" i="6"/>
  <c r="P20" i="6" s="1"/>
  <c r="K30" i="5"/>
  <c r="P30" i="5" s="1"/>
  <c r="K22" i="8" s="1"/>
  <c r="I19" i="7"/>
  <c r="L19" i="7" s="1"/>
  <c r="L30" i="7"/>
  <c r="H20" i="7"/>
  <c r="M30" i="6"/>
  <c r="L19" i="6"/>
  <c r="Q19" i="6" s="1"/>
  <c r="L13" i="8" s="1"/>
  <c r="Q18" i="6"/>
  <c r="K13" i="8" s="1"/>
  <c r="H18" i="5"/>
  <c r="K18" i="5" s="1"/>
  <c r="H19" i="5"/>
  <c r="K19" i="5" s="1"/>
  <c r="L19" i="5" s="1"/>
  <c r="L17" i="3"/>
  <c r="F11" i="8" s="1"/>
  <c r="M18" i="6"/>
  <c r="Q31" i="6"/>
  <c r="L23" i="8" s="1"/>
  <c r="G20" i="5"/>
  <c r="M29" i="3"/>
  <c r="M18" i="3"/>
  <c r="M30" i="7" l="1"/>
  <c r="Q30" i="7"/>
  <c r="P30" i="7"/>
  <c r="J23" i="8"/>
  <c r="J13" i="8"/>
  <c r="O30" i="5"/>
  <c r="L30" i="5"/>
  <c r="P31" i="5"/>
  <c r="L22" i="8" s="1"/>
  <c r="P29" i="3"/>
  <c r="K21" i="8"/>
  <c r="Q30" i="3"/>
  <c r="L21" i="8" s="1"/>
  <c r="F21" i="8"/>
  <c r="J21" i="8" s="1"/>
  <c r="J11" i="8"/>
  <c r="L18" i="5"/>
  <c r="F12" i="8"/>
  <c r="O18" i="5"/>
  <c r="O20" i="5" s="1"/>
  <c r="P17" i="3"/>
  <c r="M17" i="3"/>
  <c r="Q17" i="3"/>
  <c r="Q19" i="3" s="1"/>
  <c r="H19" i="6"/>
  <c r="H20" i="6" s="1"/>
  <c r="Q20" i="7"/>
  <c r="M14" i="8" s="1"/>
  <c r="M19" i="7"/>
  <c r="P20" i="7"/>
  <c r="Q22" i="7" s="1"/>
  <c r="N14" i="8" s="1"/>
  <c r="M18" i="7"/>
  <c r="F14" i="8" s="1"/>
  <c r="M19" i="6"/>
  <c r="P19" i="5"/>
  <c r="L12" i="8" s="1"/>
  <c r="P18" i="5"/>
  <c r="K12" i="8" s="1"/>
  <c r="Q31" i="7" l="1"/>
  <c r="L24" i="8" s="1"/>
  <c r="K24" i="8"/>
  <c r="J12" i="8"/>
  <c r="F22" i="8"/>
  <c r="J22" i="8" s="1"/>
  <c r="J14" i="8"/>
  <c r="F24" i="8"/>
  <c r="J24" i="8" s="1"/>
  <c r="K11" i="8"/>
  <c r="M11" i="8"/>
  <c r="Q20" i="6"/>
  <c r="P20" i="5"/>
  <c r="Q22" i="6" l="1"/>
  <c r="N13" i="8" s="1"/>
  <c r="M13" i="8"/>
  <c r="P22" i="5"/>
  <c r="N12" i="8" s="1"/>
  <c r="M12" i="8"/>
  <c r="O19" i="4"/>
  <c r="J12" i="4"/>
  <c r="H13" i="4" s="1"/>
  <c r="C13" i="4"/>
  <c r="C15" i="4" s="1"/>
  <c r="N17" i="4"/>
  <c r="N16" i="4"/>
  <c r="N15" i="4"/>
  <c r="N14" i="4"/>
  <c r="N13" i="4"/>
  <c r="O12" i="4"/>
  <c r="E12" i="4"/>
  <c r="D12" i="4"/>
  <c r="G12" i="4" s="1"/>
  <c r="I13" i="4" l="1"/>
  <c r="K13" i="4" s="1"/>
  <c r="F12" i="4"/>
  <c r="P13" i="4"/>
  <c r="E15" i="4"/>
  <c r="D13" i="4"/>
  <c r="C14" i="4"/>
  <c r="C17" i="4"/>
  <c r="E13" i="4"/>
  <c r="C16" i="4"/>
  <c r="D16" i="4" s="1"/>
  <c r="F16" i="4" s="1"/>
  <c r="J13" i="4" l="1"/>
  <c r="G13" i="4"/>
  <c r="F13" i="4"/>
  <c r="D14" i="4"/>
  <c r="F14" i="4" s="1"/>
  <c r="E14" i="4"/>
  <c r="D15" i="4"/>
  <c r="F15" i="4" s="1"/>
  <c r="E16" i="4"/>
  <c r="E17" i="4"/>
  <c r="D17" i="4"/>
  <c r="F17" i="4" s="1"/>
  <c r="H14" i="4" l="1"/>
  <c r="P14" i="4" s="1"/>
  <c r="G16" i="4"/>
  <c r="G17" i="4"/>
  <c r="G18" i="4"/>
  <c r="G14" i="4"/>
  <c r="G15" i="4"/>
  <c r="I14" i="4" l="1"/>
  <c r="J14" i="4" s="1"/>
  <c r="K14" i="4"/>
  <c r="O13" i="4"/>
  <c r="G19" i="4"/>
  <c r="O14" i="4" l="1"/>
  <c r="H15" i="4"/>
  <c r="I15" i="4" l="1"/>
  <c r="K15" i="4" s="1"/>
  <c r="P15" i="4"/>
  <c r="J15" i="4" l="1"/>
  <c r="H16" i="4" s="1"/>
  <c r="P16" i="4"/>
  <c r="I16" i="4" l="1"/>
  <c r="J16" i="4" s="1"/>
  <c r="H17" i="4" s="1"/>
  <c r="O15" i="4"/>
  <c r="K16" i="4" l="1"/>
  <c r="P17" i="4" s="1"/>
  <c r="I17" i="4"/>
  <c r="K17" i="4" s="1"/>
  <c r="O16" i="4" l="1"/>
  <c r="I14" i="2"/>
  <c r="I11" i="2"/>
  <c r="I12" i="2"/>
  <c r="I13" i="2"/>
  <c r="I10" i="2"/>
  <c r="E9" i="2"/>
  <c r="D10" i="2" l="1"/>
  <c r="C10" i="2"/>
  <c r="J9" i="2"/>
  <c r="E10" i="2" l="1"/>
  <c r="F10" i="2"/>
  <c r="J10" i="2" s="1"/>
  <c r="C11" i="2" l="1"/>
  <c r="D11" i="2"/>
  <c r="E11" i="2" s="1"/>
  <c r="H19" i="3"/>
  <c r="F11" i="2" l="1"/>
  <c r="C12" i="2"/>
  <c r="D12" i="2" s="1"/>
  <c r="E12" i="2" s="1"/>
  <c r="J11" i="2"/>
  <c r="F12" i="2" l="1"/>
  <c r="J12" i="2" s="1"/>
  <c r="C13" i="2" l="1"/>
  <c r="D13" i="2" s="1"/>
  <c r="F13" i="2" l="1"/>
  <c r="E13" i="2" l="1"/>
  <c r="J13" i="2" l="1"/>
  <c r="C14" i="2"/>
  <c r="D14" i="2" s="1"/>
  <c r="E14" i="2" l="1"/>
  <c r="G14" i="2" s="1"/>
  <c r="F14" i="2" l="1"/>
  <c r="J14" i="2" s="1"/>
  <c r="J15" i="2" l="1"/>
  <c r="P19" i="3"/>
  <c r="Q21" i="3" s="1"/>
  <c r="Q22" i="3" l="1"/>
  <c r="N11" i="8"/>
  <c r="J17" i="4"/>
  <c r="L17" i="4" l="1"/>
  <c r="O17" i="4" l="1"/>
  <c r="P18" i="4"/>
  <c r="P19" i="4" s="1"/>
  <c r="P21" i="4" s="1"/>
</calcChain>
</file>

<file path=xl/sharedStrings.xml><?xml version="1.0" encoding="utf-8"?>
<sst xmlns="http://schemas.openxmlformats.org/spreadsheetml/2006/main" count="276" uniqueCount="70">
  <si>
    <t>PD</t>
  </si>
  <si>
    <t>LGD</t>
  </si>
  <si>
    <t>EIR</t>
  </si>
  <si>
    <t>EAD</t>
  </si>
  <si>
    <t>CF</t>
  </si>
  <si>
    <t>EL</t>
  </si>
  <si>
    <t>EAD (no default) minus EAD (with survival given default)</t>
  </si>
  <si>
    <t xml:space="preserve">Notional </t>
  </si>
  <si>
    <t xml:space="preserve">Payment Amount </t>
  </si>
  <si>
    <t xml:space="preserve">Interest Rate </t>
  </si>
  <si>
    <t>Period t</t>
  </si>
  <si>
    <t xml:space="preserve">Interest Payment </t>
  </si>
  <si>
    <t>Amortization Schedule</t>
  </si>
  <si>
    <t xml:space="preserve">Principal Outstanding </t>
  </si>
  <si>
    <t xml:space="preserve">Cashflow </t>
  </si>
  <si>
    <t>Cashflow at Maturity</t>
  </si>
  <si>
    <t>Interest Rate Yield Curve</t>
  </si>
  <si>
    <t xml:space="preserve">Discount Factor </t>
  </si>
  <si>
    <t>Discounted Cashflow</t>
  </si>
  <si>
    <t>PV</t>
  </si>
  <si>
    <t>Payment amount can be calculated</t>
  </si>
  <si>
    <t>Probabilities use a mortality rate approach</t>
  </si>
  <si>
    <t xml:space="preserve">Put a condition if payment amount is greater than amount outstanding </t>
  </si>
  <si>
    <t>Effective interest rate does not matter much</t>
  </si>
  <si>
    <t>Key Input</t>
  </si>
  <si>
    <t>Default Probability (one period)</t>
  </si>
  <si>
    <t>Default Probabilities</t>
  </si>
  <si>
    <t>Interval Default Probability</t>
  </si>
  <si>
    <t>Survival Probability</t>
  </si>
  <si>
    <t>Interval Survival Probability</t>
  </si>
  <si>
    <t>Scenaio Probabilities</t>
  </si>
  <si>
    <t xml:space="preserve">Cashflows </t>
  </si>
  <si>
    <t xml:space="preserve">Interest Rate Yield Curve </t>
  </si>
  <si>
    <t>Discounted Contratual Cashflows</t>
  </si>
  <si>
    <t xml:space="preserve">Discounted Cashflows Scenarios </t>
  </si>
  <si>
    <t xml:space="preserve">Expected Scenarios </t>
  </si>
  <si>
    <t>Default at 1</t>
  </si>
  <si>
    <t>Default at 2</t>
  </si>
  <si>
    <t>Default at 3</t>
  </si>
  <si>
    <t>Default at 4</t>
  </si>
  <si>
    <t>Default at 5</t>
  </si>
  <si>
    <t>No Default at 5</t>
  </si>
  <si>
    <t>Expected Loss</t>
  </si>
  <si>
    <t>Maturity Date</t>
  </si>
  <si>
    <t>Valuation Date</t>
  </si>
  <si>
    <t>ISIN</t>
  </si>
  <si>
    <t>ZM3000011467</t>
  </si>
  <si>
    <t>Tenor</t>
  </si>
  <si>
    <t>EXPECTED AMOUNT APPROACH</t>
  </si>
  <si>
    <t xml:space="preserve">Discounted Expected Cashflows </t>
  </si>
  <si>
    <t>ECL</t>
  </si>
  <si>
    <t>LOSS AMOUNT APPROACH</t>
  </si>
  <si>
    <t>ZM3000011665</t>
  </si>
  <si>
    <t>ZM3000011822</t>
  </si>
  <si>
    <t xml:space="preserve">ZM3000012101 </t>
  </si>
  <si>
    <t>Issue Date</t>
  </si>
  <si>
    <t>Notional Amount</t>
  </si>
  <si>
    <t>Cashflows</t>
  </si>
  <si>
    <t>Yield</t>
  </si>
  <si>
    <t>Interest Rate</t>
  </si>
  <si>
    <t>Discount Factor</t>
  </si>
  <si>
    <t>Default</t>
  </si>
  <si>
    <t>Survival</t>
  </si>
  <si>
    <t>Scenario Probabilities</t>
  </si>
  <si>
    <t>Default Scenario</t>
  </si>
  <si>
    <t>Total Expected Cashflows</t>
  </si>
  <si>
    <t>Survival Scenario</t>
  </si>
  <si>
    <t>Expected Amount Approach</t>
  </si>
  <si>
    <t>Loss Amount Approach</t>
  </si>
  <si>
    <t>Discounted Loss Given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</si>
</sst>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%"/>
    <numFmt numFmtId="167" formatCode="0.000"/>
    <numFmt numFmtId="168" formatCode="0.00000%"/>
    <numFmt numFmtId="169" formatCode="#,##0.0"/>
    <numFmt numFmtId="170" formatCode="0.00000"/>
    <numFmt numFmtId="171" formatCode="0.0000%"/>
    <numFmt numFmtId="172" formatCode="_(* #,##0_);_(* \(#,##0\);_(* &quot;-&quot;??_);_(@_)"/>
    <numFmt numFmtId="173" formatCode="#,##0.000"/>
    <numFmt numFmtId="174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EYInterstate Light"/>
    </font>
    <font>
      <sz val="9"/>
      <color rgb="FF000000"/>
      <name val="EYInterstate Light"/>
    </font>
    <font>
      <i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54F80"/>
        <bgColor indexed="64"/>
      </patternFill>
    </fill>
    <fill>
      <patternFill patternType="solid">
        <fgColor rgb="FF0BACC8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2" borderId="3" xfId="1" applyNumberFormat="1" applyFont="1" applyFill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0" fontId="0" fillId="3" borderId="1" xfId="0" applyFill="1" applyBorder="1"/>
    <xf numFmtId="9" fontId="0" fillId="3" borderId="1" xfId="0" applyNumberFormat="1" applyFill="1" applyBorder="1"/>
    <xf numFmtId="0" fontId="2" fillId="0" borderId="1" xfId="0" applyFont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4" borderId="0" xfId="0" applyFill="1"/>
    <xf numFmtId="2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0" fillId="3" borderId="0" xfId="0" applyNumberFormat="1" applyFill="1"/>
    <xf numFmtId="166" fontId="0" fillId="0" borderId="0" xfId="0" applyNumberFormat="1"/>
    <xf numFmtId="10" fontId="0" fillId="2" borderId="3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0" fillId="0" borderId="4" xfId="0" applyBorder="1"/>
    <xf numFmtId="165" fontId="0" fillId="2" borderId="13" xfId="0" applyNumberFormat="1" applyFill="1" applyBorder="1" applyAlignment="1">
      <alignment horizontal="center"/>
    </xf>
    <xf numFmtId="0" fontId="2" fillId="0" borderId="0" xfId="0" applyFont="1"/>
    <xf numFmtId="167" fontId="0" fillId="0" borderId="14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9" fontId="0" fillId="3" borderId="9" xfId="0" applyNumberFormat="1" applyFill="1" applyBorder="1"/>
    <xf numFmtId="0" fontId="0" fillId="3" borderId="17" xfId="0" applyFill="1" applyBorder="1"/>
    <xf numFmtId="166" fontId="0" fillId="0" borderId="0" xfId="1" applyNumberFormat="1" applyFont="1" applyFill="1" applyBorder="1" applyAlignment="1">
      <alignment horizontal="center"/>
    </xf>
    <xf numFmtId="165" fontId="2" fillId="5" borderId="15" xfId="0" applyNumberFormat="1" applyFont="1" applyFill="1" applyBorder="1" applyAlignment="1">
      <alignment horizontal="center"/>
    </xf>
    <xf numFmtId="168" fontId="3" fillId="5" borderId="0" xfId="1" applyNumberFormat="1" applyFont="1" applyFill="1" applyAlignment="1">
      <alignment horizontal="center"/>
    </xf>
    <xf numFmtId="14" fontId="5" fillId="0" borderId="19" xfId="0" applyNumberFormat="1" applyFont="1" applyBorder="1"/>
    <xf numFmtId="0" fontId="0" fillId="0" borderId="1" xfId="0" applyBorder="1"/>
    <xf numFmtId="9" fontId="0" fillId="0" borderId="1" xfId="0" applyNumberFormat="1" applyBorder="1"/>
    <xf numFmtId="0" fontId="4" fillId="0" borderId="18" xfId="0" applyFont="1" applyBorder="1"/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14" fontId="5" fillId="0" borderId="0" xfId="0" applyNumberFormat="1" applyFont="1"/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0" fillId="0" borderId="0" xfId="0" applyNumberFormat="1"/>
    <xf numFmtId="167" fontId="0" fillId="0" borderId="0" xfId="0" applyNumberFormat="1"/>
    <xf numFmtId="171" fontId="0" fillId="0" borderId="1" xfId="0" applyNumberFormat="1" applyBorder="1" applyAlignment="1">
      <alignment horizontal="center"/>
    </xf>
    <xf numFmtId="14" fontId="5" fillId="0" borderId="1" xfId="0" applyNumberFormat="1" applyFont="1" applyBorder="1"/>
    <xf numFmtId="0" fontId="4" fillId="0" borderId="1" xfId="0" applyFont="1" applyBorder="1"/>
    <xf numFmtId="9" fontId="0" fillId="0" borderId="1" xfId="1" applyFont="1" applyFill="1" applyBorder="1" applyAlignment="1">
      <alignment horizontal="center"/>
    </xf>
    <xf numFmtId="0" fontId="6" fillId="0" borderId="0" xfId="0" applyFont="1"/>
    <xf numFmtId="172" fontId="5" fillId="0" borderId="19" xfId="0" applyNumberFormat="1" applyFont="1" applyBorder="1" applyAlignment="1">
      <alignment horizontal="center"/>
    </xf>
    <xf numFmtId="4" fontId="0" fillId="0" borderId="1" xfId="0" applyNumberFormat="1" applyBorder="1"/>
    <xf numFmtId="164" fontId="5" fillId="0" borderId="1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72" fontId="5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0" fontId="0" fillId="0" borderId="0" xfId="1" applyNumberFormat="1" applyFont="1" applyFill="1"/>
    <xf numFmtId="1" fontId="0" fillId="0" borderId="1" xfId="0" applyNumberFormat="1" applyBorder="1"/>
    <xf numFmtId="4" fontId="0" fillId="0" borderId="0" xfId="0" applyNumberFormat="1"/>
    <xf numFmtId="10" fontId="0" fillId="0" borderId="1" xfId="1" applyNumberFormat="1" applyFont="1" applyFill="1" applyBorder="1" applyAlignment="1">
      <alignment horizontal="center"/>
    </xf>
    <xf numFmtId="173" fontId="2" fillId="0" borderId="0" xfId="0" applyNumberFormat="1" applyFont="1"/>
    <xf numFmtId="10" fontId="0" fillId="0" borderId="0" xfId="1" applyNumberFormat="1" applyFont="1"/>
    <xf numFmtId="174" fontId="0" fillId="0" borderId="0" xfId="1" applyNumberFormat="1" applyFont="1"/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23" xfId="0" applyFont="1" applyFill="1" applyBorder="1"/>
    <xf numFmtId="43" fontId="0" fillId="0" borderId="0" xfId="0" applyNumberFormat="1"/>
    <xf numFmtId="0" fontId="7" fillId="0" borderId="1" xfId="0" applyFont="1" applyBorder="1" applyAlignment="1">
      <alignment horizontal="center"/>
    </xf>
    <xf numFmtId="0" fontId="2" fillId="0" borderId="0" xfId="0" applyFont="1" applyBorder="1"/>
    <xf numFmtId="14" fontId="4" fillId="0" borderId="0" xfId="0" applyNumberFormat="1" applyFont="1" applyBorder="1"/>
    <xf numFmtId="164" fontId="4" fillId="0" borderId="0" xfId="2" applyNumberFormat="1" applyFont="1" applyFill="1" applyBorder="1"/>
    <xf numFmtId="164" fontId="5" fillId="0" borderId="0" xfId="0" applyNumberFormat="1" applyFont="1" applyBorder="1" applyAlignment="1">
      <alignment horizontal="center"/>
    </xf>
    <xf numFmtId="9" fontId="4" fillId="0" borderId="0" xfId="1" applyFont="1" applyFill="1" applyBorder="1" applyAlignment="1">
      <alignment horizontal="center"/>
    </xf>
    <xf numFmtId="2" fontId="0" fillId="0" borderId="0" xfId="0" applyNumberFormat="1" applyBorder="1"/>
    <xf numFmtId="4" fontId="0" fillId="0" borderId="0" xfId="0" applyNumberFormat="1" applyBorder="1"/>
    <xf numFmtId="10" fontId="0" fillId="0" borderId="0" xfId="0" applyNumberFormat="1" applyBorder="1"/>
    <xf numFmtId="0" fontId="0" fillId="0" borderId="0" xfId="0" applyBorder="1"/>
    <xf numFmtId="0" fontId="2" fillId="0" borderId="23" xfId="0" applyFont="1" applyBorder="1"/>
    <xf numFmtId="10" fontId="0" fillId="0" borderId="19" xfId="1" applyNumberFormat="1" applyFont="1" applyBorder="1"/>
    <xf numFmtId="0" fontId="2" fillId="0" borderId="35" xfId="0" applyFont="1" applyBorder="1"/>
    <xf numFmtId="10" fontId="0" fillId="0" borderId="31" xfId="0" applyNumberFormat="1" applyBorder="1"/>
    <xf numFmtId="0" fontId="4" fillId="0" borderId="33" xfId="0" applyFont="1" applyFill="1" applyBorder="1"/>
    <xf numFmtId="14" fontId="4" fillId="0" borderId="36" xfId="0" applyNumberFormat="1" applyFont="1" applyBorder="1"/>
    <xf numFmtId="164" fontId="4" fillId="0" borderId="36" xfId="2" applyNumberFormat="1" applyFont="1" applyFill="1" applyBorder="1"/>
    <xf numFmtId="164" fontId="5" fillId="0" borderId="36" xfId="0" applyNumberFormat="1" applyFont="1" applyBorder="1" applyAlignment="1">
      <alignment horizontal="center"/>
    </xf>
    <xf numFmtId="9" fontId="4" fillId="0" borderId="36" xfId="1" applyFont="1" applyFill="1" applyBorder="1" applyAlignment="1">
      <alignment horizontal="center"/>
    </xf>
    <xf numFmtId="2" fontId="0" fillId="0" borderId="36" xfId="0" applyNumberFormat="1" applyBorder="1"/>
    <xf numFmtId="4" fontId="0" fillId="0" borderId="36" xfId="0" applyNumberFormat="1" applyBorder="1"/>
    <xf numFmtId="4" fontId="0" fillId="0" borderId="34" xfId="0" applyNumberFormat="1" applyBorder="1"/>
    <xf numFmtId="4" fontId="0" fillId="0" borderId="19" xfId="0" applyNumberFormat="1" applyBorder="1"/>
    <xf numFmtId="0" fontId="0" fillId="0" borderId="35" xfId="0" applyBorder="1"/>
    <xf numFmtId="0" fontId="0" fillId="0" borderId="30" xfId="0" applyBorder="1"/>
    <xf numFmtId="4" fontId="0" fillId="0" borderId="30" xfId="0" applyNumberFormat="1" applyBorder="1"/>
    <xf numFmtId="0" fontId="0" fillId="0" borderId="31" xfId="0" applyBorder="1"/>
    <xf numFmtId="0" fontId="8" fillId="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9" fillId="7" borderId="30" xfId="0" applyFont="1" applyFill="1" applyBorder="1" applyAlignment="1">
      <alignment horizontal="center" vertical="center" wrapText="1"/>
    </xf>
    <xf numFmtId="0" fontId="9" fillId="7" borderId="32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14" fontId="0" fillId="0" borderId="0" xfId="0" applyNumberFormat="1" applyBorder="1"/>
    <xf numFmtId="164" fontId="0" fillId="0" borderId="0" xfId="0" applyNumberFormat="1" applyBorder="1"/>
    <xf numFmtId="9" fontId="0" fillId="0" borderId="0" xfId="0" applyNumberFormat="1" applyBorder="1"/>
    <xf numFmtId="3" fontId="0" fillId="0" borderId="0" xfId="0" applyNumberFormat="1" applyBorder="1"/>
    <xf numFmtId="43" fontId="0" fillId="0" borderId="19" xfId="0" applyNumberFormat="1" applyBorder="1"/>
    <xf numFmtId="0" fontId="0" fillId="0" borderId="19" xfId="0" applyBorder="1"/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3">
    <cellStyle name="Comma 2 2" xfId="2" xr:uid="{EC882ECA-8EE0-42A5-B373-3577F1565435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BACC8"/>
      <color rgb="FF054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218545</xdr:colOff>
      <xdr:row>7</xdr:row>
      <xdr:rowOff>131171</xdr:rowOff>
    </xdr:from>
    <xdr:to>
      <xdr:col>22</xdr:col>
      <xdr:colOff>589156</xdr:colOff>
      <xdr:row>18</xdr:row>
      <xdr:rowOff>110659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FAE8C-0943-4749-A3A1-B01CEB3B7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0438" y="1443298"/>
          <a:ext cx="6466611" cy="2179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259080</xdr:colOff>
      <xdr:row>7</xdr:row>
      <xdr:rowOff>15716</xdr:rowOff>
    </xdr:from>
    <xdr:to>
      <xdr:col>32</xdr:col>
      <xdr:colOff>228413</xdr:colOff>
      <xdr:row>24</xdr:row>
      <xdr:rowOff>155235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7AD768-71C9-4B12-B08C-971DDC8B4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0790" y="1295876"/>
          <a:ext cx="7010213" cy="32637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442418</xdr:colOff>
      <xdr:row>16</xdr:row>
      <xdr:rowOff>21445</xdr:rowOff>
    </xdr:from>
    <xdr:to>
      <xdr:col>33</xdr:col>
      <xdr:colOff>411749</xdr:colOff>
      <xdr:row>42</xdr:row>
      <xdr:rowOff>12010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537D3-CF94-4F20-8A15-EC68090C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8078" y="2581765"/>
          <a:ext cx="6674932" cy="47454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A545-FEF1-4B88-A533-F84C528D78F1}">
  <dimension ref="C2:H11"/>
  <sheetViews>
    <sheetView zoomScale="143" zoomScaleNormal="170" workbookViewId="0">
      <selection activeCell="D19" sqref="D19"/>
    </sheetView>
  </sheetViews>
  <sheetFormatPr defaultRowHeight="14.4"/>
  <sheetData>
    <row r="2" spans="3:8"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3:8">
      <c r="C3" t="s">
        <v>0</v>
      </c>
      <c r="D3" s="3">
        <v>0.01</v>
      </c>
      <c r="E3" s="3">
        <v>0.02</v>
      </c>
      <c r="F3" s="3">
        <v>0.03</v>
      </c>
      <c r="G3" s="3">
        <v>0.04</v>
      </c>
      <c r="H3" s="3">
        <v>0.05</v>
      </c>
    </row>
    <row r="4" spans="3:8">
      <c r="C4" t="s">
        <v>1</v>
      </c>
      <c r="D4" s="4">
        <v>0.4</v>
      </c>
      <c r="E4" s="4">
        <v>0.4</v>
      </c>
      <c r="F4" s="4">
        <v>0.4</v>
      </c>
      <c r="G4" s="4">
        <v>0.4</v>
      </c>
      <c r="H4" s="4">
        <v>0.4</v>
      </c>
    </row>
    <row r="5" spans="3:8">
      <c r="D5" s="5"/>
      <c r="E5" s="5"/>
      <c r="F5" s="5"/>
      <c r="G5" s="5"/>
      <c r="H5" s="5"/>
    </row>
    <row r="6" spans="3:8">
      <c r="C6" t="s">
        <v>2</v>
      </c>
      <c r="D6" s="1">
        <v>0.1</v>
      </c>
    </row>
    <row r="8" spans="3:8">
      <c r="C8" t="s">
        <v>3</v>
      </c>
      <c r="D8">
        <v>100</v>
      </c>
      <c r="E8">
        <v>90</v>
      </c>
      <c r="F8">
        <v>80</v>
      </c>
      <c r="G8">
        <v>70</v>
      </c>
      <c r="H8">
        <v>60</v>
      </c>
    </row>
    <row r="9" spans="3:8">
      <c r="C9" t="s">
        <v>4</v>
      </c>
      <c r="D9">
        <v>0</v>
      </c>
      <c r="E9">
        <v>10</v>
      </c>
      <c r="F9">
        <v>10</v>
      </c>
      <c r="G9">
        <v>10</v>
      </c>
      <c r="H9">
        <v>70</v>
      </c>
    </row>
    <row r="11" spans="3:8">
      <c r="C11" t="s">
        <v>5</v>
      </c>
      <c r="D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856B-0169-4E18-92DE-847DD12CB6FB}">
  <dimension ref="B2:J18"/>
  <sheetViews>
    <sheetView topLeftCell="L8" zoomScale="205" zoomScaleNormal="120" workbookViewId="0">
      <selection activeCell="F16" sqref="F16"/>
    </sheetView>
  </sheetViews>
  <sheetFormatPr defaultRowHeight="14.4"/>
  <cols>
    <col min="2" max="2" width="9.5546875" customWidth="1"/>
    <col min="3" max="10" width="12.5546875" customWidth="1"/>
  </cols>
  <sheetData>
    <row r="2" spans="2:10" ht="15" thickBot="1"/>
    <row r="3" spans="2:10" ht="15" thickBot="1">
      <c r="B3" s="92" t="s">
        <v>7</v>
      </c>
      <c r="C3" s="93"/>
      <c r="D3" s="48">
        <v>100</v>
      </c>
      <c r="F3" s="1"/>
    </row>
    <row r="4" spans="2:10" ht="15" thickBot="1">
      <c r="B4" s="92" t="s">
        <v>8</v>
      </c>
      <c r="C4" s="93"/>
      <c r="D4" s="48">
        <v>20</v>
      </c>
    </row>
    <row r="5" spans="2:10" ht="15" thickBot="1">
      <c r="B5" s="94" t="s">
        <v>9</v>
      </c>
      <c r="C5" s="95"/>
      <c r="D5" s="47">
        <v>0.05</v>
      </c>
    </row>
    <row r="7" spans="2:10" ht="15" thickBot="1"/>
    <row r="8" spans="2:10" ht="29.1" customHeight="1" thickBot="1">
      <c r="B8" s="26" t="s">
        <v>10</v>
      </c>
      <c r="C8" s="27" t="s">
        <v>11</v>
      </c>
      <c r="D8" s="27" t="s">
        <v>12</v>
      </c>
      <c r="E8" s="27" t="s">
        <v>13</v>
      </c>
      <c r="F8" s="27" t="s">
        <v>14</v>
      </c>
      <c r="G8" s="27" t="s">
        <v>15</v>
      </c>
      <c r="H8" s="27" t="s">
        <v>16</v>
      </c>
      <c r="I8" s="27" t="s">
        <v>17</v>
      </c>
      <c r="J8" s="28" t="s">
        <v>18</v>
      </c>
    </row>
    <row r="9" spans="2:10">
      <c r="B9" s="7">
        <v>0</v>
      </c>
      <c r="C9" s="8">
        <v>0</v>
      </c>
      <c r="D9" s="8">
        <v>0</v>
      </c>
      <c r="E9" s="8">
        <f>D3-D9</f>
        <v>100</v>
      </c>
      <c r="F9" s="8">
        <v>0</v>
      </c>
      <c r="G9" s="8">
        <v>0</v>
      </c>
      <c r="H9" s="18">
        <v>0.05</v>
      </c>
      <c r="I9" s="24">
        <v>1</v>
      </c>
      <c r="J9" s="9">
        <f>I9*F9</f>
        <v>0</v>
      </c>
    </row>
    <row r="10" spans="2:10">
      <c r="B10" s="10">
        <v>1</v>
      </c>
      <c r="C10" s="11">
        <f>E9*$D$5</f>
        <v>5</v>
      </c>
      <c r="D10" s="11">
        <f>IF(E9&lt;$D$4,E9,$D$4-C10)</f>
        <v>15</v>
      </c>
      <c r="E10" s="11">
        <f>MAX(E9-D10,0)</f>
        <v>85</v>
      </c>
      <c r="F10" s="11">
        <f>C10+D10</f>
        <v>20</v>
      </c>
      <c r="G10" s="11">
        <v>0</v>
      </c>
      <c r="H10" s="19">
        <v>0.05</v>
      </c>
      <c r="I10" s="25">
        <f>1/(1+H9)^B10</f>
        <v>0.95238095238095233</v>
      </c>
      <c r="J10" s="12">
        <f>I10*F10</f>
        <v>19.047619047619047</v>
      </c>
    </row>
    <row r="11" spans="2:10">
      <c r="B11" s="10">
        <v>2</v>
      </c>
      <c r="C11" s="11">
        <f>E10*$D$5</f>
        <v>4.25</v>
      </c>
      <c r="D11" s="11">
        <f t="shared" ref="D11:D13" si="0">IF(E10&lt;$D$4,E10,$D$4-C11)</f>
        <v>15.75</v>
      </c>
      <c r="E11" s="11">
        <f t="shared" ref="E11:E14" si="1">MAX(E10-D11,0)</f>
        <v>69.25</v>
      </c>
      <c r="F11" s="11">
        <f>C11+D11</f>
        <v>20</v>
      </c>
      <c r="G11" s="11">
        <v>0</v>
      </c>
      <c r="H11" s="19">
        <v>0.05</v>
      </c>
      <c r="I11" s="25">
        <f t="shared" ref="I11:I13" si="2">1/(1+H10)^B11</f>
        <v>0.90702947845804982</v>
      </c>
      <c r="J11" s="12">
        <f>I11*F11</f>
        <v>18.140589569160998</v>
      </c>
    </row>
    <row r="12" spans="2:10">
      <c r="B12" s="10">
        <v>3</v>
      </c>
      <c r="C12" s="11">
        <f t="shared" ref="C12:C13" si="3">E11*$D$5</f>
        <v>3.4625000000000004</v>
      </c>
      <c r="D12" s="11">
        <f t="shared" si="0"/>
        <v>16.537500000000001</v>
      </c>
      <c r="E12" s="11">
        <f t="shared" si="1"/>
        <v>52.712499999999999</v>
      </c>
      <c r="F12" s="11">
        <f t="shared" ref="F12:F14" si="4">C12+D12</f>
        <v>20</v>
      </c>
      <c r="G12" s="11">
        <v>0</v>
      </c>
      <c r="H12" s="19">
        <v>0.05</v>
      </c>
      <c r="I12" s="25">
        <f t="shared" si="2"/>
        <v>0.86383759853147601</v>
      </c>
      <c r="J12" s="12">
        <f>I12*F12</f>
        <v>17.276751970629519</v>
      </c>
    </row>
    <row r="13" spans="2:10">
      <c r="B13" s="10">
        <v>4</v>
      </c>
      <c r="C13" s="11">
        <f t="shared" si="3"/>
        <v>2.6356250000000001</v>
      </c>
      <c r="D13" s="11">
        <f t="shared" si="0"/>
        <v>17.364374999999999</v>
      </c>
      <c r="E13" s="11">
        <f t="shared" si="1"/>
        <v>35.348124999999996</v>
      </c>
      <c r="F13" s="11">
        <f t="shared" si="4"/>
        <v>20</v>
      </c>
      <c r="G13" s="11">
        <v>0</v>
      </c>
      <c r="H13" s="19">
        <v>0.05</v>
      </c>
      <c r="I13" s="25">
        <f t="shared" si="2"/>
        <v>0.82270247479188197</v>
      </c>
      <c r="J13" s="12">
        <f>I13*F13</f>
        <v>16.454049495837641</v>
      </c>
    </row>
    <row r="14" spans="2:10" ht="15" thickBot="1">
      <c r="B14" s="13">
        <v>5</v>
      </c>
      <c r="C14" s="14">
        <f>E13*$D$5</f>
        <v>1.7674062499999998</v>
      </c>
      <c r="D14" s="14">
        <f>IF(E13&lt;$D$4,E13,$D$4-C14)</f>
        <v>18.232593749999999</v>
      </c>
      <c r="E14" s="14">
        <f t="shared" si="1"/>
        <v>17.115531249999997</v>
      </c>
      <c r="F14" s="14">
        <f t="shared" si="4"/>
        <v>20</v>
      </c>
      <c r="G14" s="14">
        <f>E14</f>
        <v>17.115531249999997</v>
      </c>
      <c r="H14" s="20">
        <v>0.05</v>
      </c>
      <c r="I14" s="30">
        <f>1/(1+H13)^B14</f>
        <v>0.78352616646845896</v>
      </c>
      <c r="J14" s="15">
        <f>I14*F14+G14*I14</f>
        <v>29.080989916752785</v>
      </c>
    </row>
    <row r="15" spans="2:10" ht="15" thickBot="1">
      <c r="B15" s="6" t="s">
        <v>19</v>
      </c>
      <c r="J15" s="50">
        <f>SUM(J9:J14)</f>
        <v>99.999999999999986</v>
      </c>
    </row>
    <row r="18" spans="2:2">
      <c r="B18" t="s">
        <v>20</v>
      </c>
    </row>
  </sheetData>
  <mergeCells count="3">
    <mergeCell ref="B3:C3"/>
    <mergeCell ref="B4:C4"/>
    <mergeCell ref="B5:C5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4B6C-C5F5-48AE-AF0F-E2D0CBBA67D3}">
  <dimension ref="B2:Q22"/>
  <sheetViews>
    <sheetView topLeftCell="O1" zoomScale="58" workbookViewId="0">
      <selection activeCell="G28" sqref="G28"/>
    </sheetView>
  </sheetViews>
  <sheetFormatPr defaultRowHeight="14.4"/>
  <cols>
    <col min="2" max="2" width="10.6640625" customWidth="1"/>
    <col min="3" max="3" width="12.5546875" customWidth="1"/>
    <col min="4" max="7" width="11.6640625" customWidth="1"/>
    <col min="8" max="8" width="15.109375" customWidth="1"/>
    <col min="9" max="9" width="12.5546875" customWidth="1"/>
    <col min="10" max="10" width="15.44140625" customWidth="1"/>
    <col min="11" max="16" width="12.5546875" customWidth="1"/>
    <col min="17" max="17" width="13.5546875" customWidth="1"/>
  </cols>
  <sheetData>
    <row r="2" spans="2:17">
      <c r="B2" t="s">
        <v>21</v>
      </c>
    </row>
    <row r="3" spans="2:17">
      <c r="B3" t="s">
        <v>22</v>
      </c>
    </row>
    <row r="4" spans="2:17">
      <c r="B4" t="s">
        <v>23</v>
      </c>
    </row>
    <row r="5" spans="2:17">
      <c r="H5" s="23" t="s">
        <v>7</v>
      </c>
      <c r="I5" s="21">
        <v>100</v>
      </c>
      <c r="K5" s="1"/>
      <c r="L5" s="1"/>
    </row>
    <row r="6" spans="2:17">
      <c r="H6" s="23" t="s">
        <v>8</v>
      </c>
      <c r="I6" s="21">
        <v>20</v>
      </c>
    </row>
    <row r="7" spans="2:17">
      <c r="H7" s="23" t="s">
        <v>9</v>
      </c>
      <c r="I7" s="22">
        <v>0.06</v>
      </c>
    </row>
    <row r="8" spans="2:17">
      <c r="C8" s="29" t="s">
        <v>24</v>
      </c>
      <c r="H8" s="33" t="s">
        <v>25</v>
      </c>
      <c r="I8" s="22">
        <v>0.01</v>
      </c>
    </row>
    <row r="9" spans="2:17">
      <c r="C9" s="29"/>
      <c r="H9" s="33" t="s">
        <v>1</v>
      </c>
      <c r="I9" s="34">
        <v>0.5</v>
      </c>
    </row>
    <row r="10" spans="2:17" ht="15" thickBot="1"/>
    <row r="11" spans="2:17" ht="43.5" customHeight="1" thickBot="1">
      <c r="B11" s="26" t="s">
        <v>10</v>
      </c>
      <c r="C11" s="27" t="s">
        <v>26</v>
      </c>
      <c r="D11" s="27" t="s">
        <v>27</v>
      </c>
      <c r="E11" s="27" t="s">
        <v>28</v>
      </c>
      <c r="F11" s="27" t="s">
        <v>29</v>
      </c>
      <c r="G11" s="27" t="s">
        <v>30</v>
      </c>
      <c r="H11" s="27" t="s">
        <v>11</v>
      </c>
      <c r="I11" s="27" t="s">
        <v>12</v>
      </c>
      <c r="J11" s="27" t="s">
        <v>13</v>
      </c>
      <c r="K11" s="27" t="s">
        <v>31</v>
      </c>
      <c r="L11" s="27" t="s">
        <v>15</v>
      </c>
      <c r="M11" s="27" t="s">
        <v>32</v>
      </c>
      <c r="N11" s="27" t="s">
        <v>17</v>
      </c>
      <c r="O11" s="28" t="s">
        <v>33</v>
      </c>
      <c r="P11" s="28" t="s">
        <v>34</v>
      </c>
      <c r="Q11" s="28" t="s">
        <v>35</v>
      </c>
    </row>
    <row r="12" spans="2:17">
      <c r="B12" s="7">
        <v>0</v>
      </c>
      <c r="C12" s="16">
        <v>0</v>
      </c>
      <c r="D12" s="16">
        <f>C12</f>
        <v>0</v>
      </c>
      <c r="E12" s="16">
        <f>(1-C12)</f>
        <v>1</v>
      </c>
      <c r="F12" s="16">
        <f t="shared" ref="F12:F17" si="0">1-D12</f>
        <v>1</v>
      </c>
      <c r="G12" s="36">
        <f>D12</f>
        <v>0</v>
      </c>
      <c r="H12" s="8">
        <v>0</v>
      </c>
      <c r="I12" s="8">
        <v>0</v>
      </c>
      <c r="J12" s="8">
        <f>I5-I12</f>
        <v>100</v>
      </c>
      <c r="K12" s="8">
        <v>0</v>
      </c>
      <c r="L12" s="8">
        <v>0</v>
      </c>
      <c r="M12" s="18">
        <v>0.05</v>
      </c>
      <c r="N12" s="24">
        <v>1</v>
      </c>
      <c r="O12" s="8">
        <f>N12*K12</f>
        <v>0</v>
      </c>
      <c r="P12" s="42">
        <v>0</v>
      </c>
      <c r="Q12" s="41"/>
    </row>
    <row r="13" spans="2:17">
      <c r="B13" s="10">
        <v>1</v>
      </c>
      <c r="C13" s="17">
        <f>I8</f>
        <v>0.01</v>
      </c>
      <c r="D13" s="17">
        <f>(C13-C12)</f>
        <v>0.01</v>
      </c>
      <c r="E13" s="17">
        <f>1-C13</f>
        <v>0.99</v>
      </c>
      <c r="F13" s="17">
        <f t="shared" si="0"/>
        <v>0.99</v>
      </c>
      <c r="G13" s="37">
        <f>E12*D13</f>
        <v>0.01</v>
      </c>
      <c r="H13" s="11">
        <f>J12*$I$7</f>
        <v>6</v>
      </c>
      <c r="I13" s="11">
        <f>IF(J12&lt;$I$6,J12,$I$6-H13)</f>
        <v>14</v>
      </c>
      <c r="J13" s="11">
        <f>MAX(J12-I13,0)</f>
        <v>86</v>
      </c>
      <c r="K13" s="11">
        <f>H13+I13</f>
        <v>20</v>
      </c>
      <c r="L13" s="11">
        <v>0</v>
      </c>
      <c r="M13" s="19">
        <v>0.05</v>
      </c>
      <c r="N13" s="25">
        <f>1/(1+M12)^B13</f>
        <v>0.95238095238095233</v>
      </c>
      <c r="O13" s="11">
        <f>N13*K13</f>
        <v>19.047619047619047</v>
      </c>
      <c r="P13" s="44">
        <f>J12*(1-$I$9)*N13 + H13*N13</f>
        <v>53.333333333333329</v>
      </c>
      <c r="Q13" s="39" t="s">
        <v>36</v>
      </c>
    </row>
    <row r="14" spans="2:17">
      <c r="B14" s="10">
        <v>2</v>
      </c>
      <c r="C14" s="17">
        <f>1-(1-$C$13)^B14</f>
        <v>1.9900000000000029E-2</v>
      </c>
      <c r="D14" s="17">
        <f>(C14-C13)</f>
        <v>9.9000000000000286E-3</v>
      </c>
      <c r="E14" s="17">
        <f>1-C14</f>
        <v>0.98009999999999997</v>
      </c>
      <c r="F14" s="17">
        <f t="shared" si="0"/>
        <v>0.99009999999999998</v>
      </c>
      <c r="G14" s="37">
        <f>E12*E13*D14</f>
        <v>9.8010000000000284E-3</v>
      </c>
      <c r="H14" s="11">
        <f t="shared" ref="H14:H15" si="1">J13*$I$7</f>
        <v>5.16</v>
      </c>
      <c r="I14" s="11">
        <f t="shared" ref="I14:I17" si="2">IF(J13&lt;$I$6,J13,$I$6-H14)</f>
        <v>14.84</v>
      </c>
      <c r="J14" s="11">
        <f t="shared" ref="J14:J17" si="3">MAX(J13-I14,0)</f>
        <v>71.16</v>
      </c>
      <c r="K14" s="11">
        <f t="shared" ref="K14:K17" si="4">H14+I14</f>
        <v>20</v>
      </c>
      <c r="L14" s="11">
        <v>0</v>
      </c>
      <c r="M14" s="19">
        <v>0.05</v>
      </c>
      <c r="N14" s="25">
        <f>1/(1+M13)^B14</f>
        <v>0.90702947845804982</v>
      </c>
      <c r="O14" s="11">
        <f>N14*K14</f>
        <v>18.140589569160998</v>
      </c>
      <c r="P14" s="44">
        <f>K13*N13+J13*(1-$I$9)*N14+H14*N14</f>
        <v>62.730158730158735</v>
      </c>
      <c r="Q14" s="39" t="s">
        <v>37</v>
      </c>
    </row>
    <row r="15" spans="2:17">
      <c r="B15" s="10">
        <v>3</v>
      </c>
      <c r="C15" s="17">
        <f t="shared" ref="C15:C17" si="5">1-(1-$C$13)^B15</f>
        <v>2.9701000000000088E-2</v>
      </c>
      <c r="D15" s="17">
        <f>(C15-C14)</f>
        <v>9.8010000000000597E-3</v>
      </c>
      <c r="E15" s="17">
        <f t="shared" ref="E15:E17" si="6">1-C15</f>
        <v>0.97029899999999991</v>
      </c>
      <c r="F15" s="17">
        <f t="shared" si="0"/>
        <v>0.99019899999999994</v>
      </c>
      <c r="G15" s="37">
        <f>F12*F13*F14*D15</f>
        <v>9.6069303990000583E-3</v>
      </c>
      <c r="H15" s="11">
        <f t="shared" si="1"/>
        <v>4.2695999999999996</v>
      </c>
      <c r="I15" s="11">
        <f t="shared" si="2"/>
        <v>15.730399999999999</v>
      </c>
      <c r="J15" s="11">
        <f>MAX(J14-I15,0)</f>
        <v>55.429599999999994</v>
      </c>
      <c r="K15" s="11">
        <f t="shared" si="4"/>
        <v>20</v>
      </c>
      <c r="L15" s="11">
        <v>0</v>
      </c>
      <c r="M15" s="19">
        <v>0.05</v>
      </c>
      <c r="N15" s="25">
        <f>1/(1+M14)^B15</f>
        <v>0.86383759853147601</v>
      </c>
      <c r="O15" s="11">
        <f>N15*K15</f>
        <v>17.276751970629519</v>
      </c>
      <c r="P15" s="44">
        <f>K13*N13+K14*N14+J14*(1-$I$9)*N15+H15*N15</f>
        <v>71.611791383219952</v>
      </c>
      <c r="Q15" s="39" t="s">
        <v>38</v>
      </c>
    </row>
    <row r="16" spans="2:17">
      <c r="B16" s="10">
        <v>4</v>
      </c>
      <c r="C16" s="17">
        <f t="shared" si="5"/>
        <v>3.9403990000000055E-2</v>
      </c>
      <c r="D16" s="17">
        <f t="shared" ref="D16" si="7">(C16-C15)</f>
        <v>9.7029899999999669E-3</v>
      </c>
      <c r="E16" s="17">
        <f t="shared" si="6"/>
        <v>0.96059600999999994</v>
      </c>
      <c r="F16" s="17">
        <f t="shared" si="0"/>
        <v>0.99029701000000003</v>
      </c>
      <c r="G16" s="37">
        <f>F12*F13*F14*F15*D16</f>
        <v>9.4176451454177738E-3</v>
      </c>
      <c r="H16" s="11">
        <f>J15*$I$7</f>
        <v>3.3257759999999994</v>
      </c>
      <c r="I16" s="11">
        <f t="shared" si="2"/>
        <v>16.674224000000002</v>
      </c>
      <c r="J16" s="11">
        <f t="shared" si="3"/>
        <v>38.755375999999991</v>
      </c>
      <c r="K16" s="11">
        <f t="shared" si="4"/>
        <v>20</v>
      </c>
      <c r="L16" s="11">
        <v>0</v>
      </c>
      <c r="M16" s="19">
        <v>0.05</v>
      </c>
      <c r="N16" s="25">
        <f>1/(1+M15)^B16</f>
        <v>0.82270247479188197</v>
      </c>
      <c r="O16" s="11">
        <f>N16*K16</f>
        <v>16.454049495837641</v>
      </c>
      <c r="P16" s="44">
        <f>K13*N13+K14*N14+K15*N15+J15*(1-$I$9)*N16+H16*N16</f>
        <v>80.002119281575062</v>
      </c>
      <c r="Q16" s="39" t="s">
        <v>39</v>
      </c>
    </row>
    <row r="17" spans="2:17">
      <c r="B17" s="10">
        <v>5</v>
      </c>
      <c r="C17" s="17">
        <f t="shared" si="5"/>
        <v>4.9009950100000088E-2</v>
      </c>
      <c r="D17" s="17">
        <f>(C17-C16)</f>
        <v>9.6059601000000328E-3</v>
      </c>
      <c r="E17" s="19">
        <f t="shared" si="6"/>
        <v>0.95099004989999991</v>
      </c>
      <c r="F17" s="17">
        <f t="shared" si="0"/>
        <v>0.99039403989999997</v>
      </c>
      <c r="G17" s="37">
        <f>F12*F13*F14*F15*F16*D17</f>
        <v>9.2330031704608174E-3</v>
      </c>
      <c r="H17" s="11">
        <f>J16*$I$7</f>
        <v>2.3253225599999996</v>
      </c>
      <c r="I17" s="11">
        <f t="shared" si="2"/>
        <v>17.67467744</v>
      </c>
      <c r="J17" s="11">
        <f t="shared" si="3"/>
        <v>21.080698559999991</v>
      </c>
      <c r="K17" s="11">
        <f t="shared" si="4"/>
        <v>20</v>
      </c>
      <c r="L17" s="11">
        <f>J17</f>
        <v>21.080698559999991</v>
      </c>
      <c r="M17" s="19">
        <v>0.05</v>
      </c>
      <c r="N17" s="25">
        <f>1/(1+M16)^B17</f>
        <v>0.78352616646845896</v>
      </c>
      <c r="O17" s="11">
        <f>N17*L17+K17*N17</f>
        <v>32.187802258563138</v>
      </c>
      <c r="P17" s="44">
        <f>K13*N13+K14*N14+K15*N15+K16*N16+J16*(1-$I$9)*N17+H17*N17</f>
        <v>87.923886748148476</v>
      </c>
      <c r="Q17" s="39" t="s">
        <v>40</v>
      </c>
    </row>
    <row r="18" spans="2:17" ht="15" thickBot="1">
      <c r="B18" s="13">
        <v>5</v>
      </c>
      <c r="C18" s="31"/>
      <c r="D18" s="31"/>
      <c r="E18" s="20"/>
      <c r="F18" s="31"/>
      <c r="G18" s="38">
        <f>F13*F14*F15*F16*F17</f>
        <v>0.95194142128512127</v>
      </c>
      <c r="H18" s="14"/>
      <c r="I18" s="14"/>
      <c r="J18" s="14"/>
      <c r="K18" s="14"/>
      <c r="L18" s="14"/>
      <c r="M18" s="20">
        <v>0.05</v>
      </c>
      <c r="N18" s="30"/>
      <c r="O18" s="14"/>
      <c r="P18" s="45">
        <f>K13*N13+K14*N14+K15*N15+K16*N16+(K17+L17)*N17</f>
        <v>103.10681234181033</v>
      </c>
      <c r="Q18" s="40" t="s">
        <v>41</v>
      </c>
    </row>
    <row r="19" spans="2:17">
      <c r="B19" s="6" t="s">
        <v>19</v>
      </c>
      <c r="C19" s="6"/>
      <c r="D19" s="6"/>
      <c r="E19" s="6"/>
      <c r="F19" s="6"/>
      <c r="G19" s="32">
        <f>SUM(G12:G18)</f>
        <v>1</v>
      </c>
      <c r="M19" s="49"/>
      <c r="O19" s="46">
        <f>SUM(O12:O17)</f>
        <v>103.10681234181034</v>
      </c>
      <c r="P19" s="46">
        <f>P13*G13+G14*P14+G15*P15+G16*P16+G17*P17+G18*P18</f>
        <v>101.55299969483529</v>
      </c>
    </row>
    <row r="21" spans="2:17" ht="15.6">
      <c r="O21" s="43" t="s">
        <v>42</v>
      </c>
      <c r="P21" s="51">
        <f>(O19-P19)/I5</f>
        <v>1.5538126469750467E-2</v>
      </c>
    </row>
    <row r="22" spans="2:17">
      <c r="J22" s="3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3A15-7659-433E-91FF-E34FD7CA5AD7}">
  <dimension ref="A3:Q32"/>
  <sheetViews>
    <sheetView showGridLines="0" topLeftCell="A12" zoomScale="59" zoomScaleNormal="145" workbookViewId="0">
      <selection activeCell="E24" sqref="E24"/>
    </sheetView>
  </sheetViews>
  <sheetFormatPr defaultColWidth="8.88671875" defaultRowHeight="14.4"/>
  <cols>
    <col min="2" max="2" width="28.33203125" bestFit="1" customWidth="1"/>
    <col min="3" max="18" width="15.77734375" customWidth="1"/>
  </cols>
  <sheetData>
    <row r="3" spans="3:17">
      <c r="C3" s="23" t="s">
        <v>7</v>
      </c>
      <c r="D3" s="78">
        <v>4991005.4400000004</v>
      </c>
    </row>
    <row r="4" spans="3:17">
      <c r="C4" s="23" t="s">
        <v>8</v>
      </c>
      <c r="D4" s="77">
        <v>768994.55999999866</v>
      </c>
    </row>
    <row r="5" spans="3:17">
      <c r="C5" s="23" t="s">
        <v>9</v>
      </c>
      <c r="D5" s="54">
        <v>0.15</v>
      </c>
    </row>
    <row r="6" spans="3:17">
      <c r="C6" s="23" t="s">
        <v>25</v>
      </c>
      <c r="D6" s="54">
        <v>9.7800000000000005E-3</v>
      </c>
      <c r="L6" s="1"/>
      <c r="M6" s="1"/>
    </row>
    <row r="7" spans="3:17">
      <c r="C7" s="23" t="s">
        <v>1</v>
      </c>
      <c r="D7" s="54">
        <v>0.4</v>
      </c>
    </row>
    <row r="8" spans="3:17">
      <c r="C8" s="23" t="s">
        <v>43</v>
      </c>
      <c r="D8" s="73">
        <v>45684</v>
      </c>
    </row>
    <row r="9" spans="3:17">
      <c r="C9" s="23" t="s">
        <v>55</v>
      </c>
      <c r="D9" s="100">
        <v>45320</v>
      </c>
    </row>
    <row r="10" spans="3:17">
      <c r="C10" s="23" t="s">
        <v>44</v>
      </c>
      <c r="D10" s="73">
        <v>45657</v>
      </c>
    </row>
    <row r="11" spans="3:17">
      <c r="C11" s="23" t="s">
        <v>45</v>
      </c>
      <c r="D11" s="55" t="s">
        <v>46</v>
      </c>
    </row>
    <row r="12" spans="3:17">
      <c r="C12" s="23" t="s">
        <v>47</v>
      </c>
      <c r="D12" s="86">
        <f>DATEDIF(D10,D8,"M")</f>
        <v>0</v>
      </c>
    </row>
    <row r="13" spans="3:17">
      <c r="I13" s="91"/>
    </row>
    <row r="14" spans="3:17">
      <c r="C14" s="146" t="s">
        <v>48</v>
      </c>
    </row>
    <row r="16" spans="3:17" ht="43.5" customHeight="1">
      <c r="C16" s="80" t="s">
        <v>10</v>
      </c>
      <c r="D16" s="80" t="s">
        <v>26</v>
      </c>
      <c r="E16" s="80" t="s">
        <v>27</v>
      </c>
      <c r="F16" s="80" t="s">
        <v>28</v>
      </c>
      <c r="G16" s="80" t="s">
        <v>29</v>
      </c>
      <c r="H16" s="80" t="s">
        <v>30</v>
      </c>
      <c r="I16" s="80" t="s">
        <v>11</v>
      </c>
      <c r="J16" s="80" t="s">
        <v>12</v>
      </c>
      <c r="K16" s="80" t="s">
        <v>13</v>
      </c>
      <c r="L16" s="80" t="s">
        <v>31</v>
      </c>
      <c r="M16" s="80" t="s">
        <v>15</v>
      </c>
      <c r="N16" s="80" t="s">
        <v>32</v>
      </c>
      <c r="O16" s="80" t="s">
        <v>17</v>
      </c>
      <c r="P16" s="80" t="s">
        <v>33</v>
      </c>
      <c r="Q16" s="80" t="s">
        <v>49</v>
      </c>
    </row>
    <row r="17" spans="1:17">
      <c r="A17" s="143"/>
      <c r="B17" s="58"/>
      <c r="C17" s="2">
        <v>1</v>
      </c>
      <c r="D17" s="63">
        <v>9.7800000000000005E-3</v>
      </c>
      <c r="E17" s="63">
        <f>D17</f>
        <v>9.7800000000000005E-3</v>
      </c>
      <c r="F17" s="63">
        <f>(1-D17)</f>
        <v>0.99021999999999999</v>
      </c>
      <c r="G17" s="63">
        <f>1-E17</f>
        <v>0.99021999999999999</v>
      </c>
      <c r="H17" s="63">
        <f>D17</f>
        <v>9.7800000000000005E-3</v>
      </c>
      <c r="I17" s="64">
        <f>D4</f>
        <v>768994.55999999866</v>
      </c>
      <c r="J17" s="65">
        <v>0</v>
      </c>
      <c r="K17" s="66">
        <f>D3-J17</f>
        <v>4991005.4400000004</v>
      </c>
      <c r="L17" s="67">
        <f>K17+I17</f>
        <v>5759999.9999999991</v>
      </c>
      <c r="M17" s="65">
        <f>L17</f>
        <v>5759999.9999999991</v>
      </c>
      <c r="N17" s="68">
        <v>0.15</v>
      </c>
      <c r="O17" s="69">
        <f>1/(1+N17)^C17</f>
        <v>0.86956521739130443</v>
      </c>
      <c r="P17" s="67">
        <f>O17*L17</f>
        <v>5008695.6521739131</v>
      </c>
      <c r="Q17" s="67">
        <f>(1-D7)*L17*O17</f>
        <v>3005217.3913043477</v>
      </c>
    </row>
    <row r="18" spans="1:17">
      <c r="C18" s="2">
        <v>1</v>
      </c>
      <c r="D18" s="62"/>
      <c r="E18" s="62"/>
      <c r="F18" s="62"/>
      <c r="G18" s="62"/>
      <c r="H18" s="63">
        <f>1-H17</f>
        <v>0.99021999999999999</v>
      </c>
      <c r="I18" s="64">
        <f>D4</f>
        <v>768994.55999999866</v>
      </c>
      <c r="J18" s="65">
        <v>0</v>
      </c>
      <c r="K18" s="66">
        <v>4991005.4400000004</v>
      </c>
      <c r="L18" s="67">
        <f t="shared" ref="L18" si="0">K18+I18</f>
        <v>5759999.9999999991</v>
      </c>
      <c r="M18" s="65">
        <f t="shared" ref="M18" si="1">L18</f>
        <v>5759999.9999999991</v>
      </c>
      <c r="N18" s="68">
        <v>0.15</v>
      </c>
      <c r="O18" s="69">
        <f>1/(1+N18)^C18</f>
        <v>0.86956521739130443</v>
      </c>
      <c r="P18" s="67">
        <v>0</v>
      </c>
      <c r="Q18" s="67">
        <f>L18*O18</f>
        <v>5008695.6521739131</v>
      </c>
    </row>
    <row r="19" spans="1:17">
      <c r="C19" s="6" t="s">
        <v>19</v>
      </c>
      <c r="D19" s="6"/>
      <c r="E19" s="6"/>
      <c r="F19" s="6"/>
      <c r="G19" s="6"/>
      <c r="H19" s="32">
        <f>SUM(H17:H18)</f>
        <v>1</v>
      </c>
      <c r="P19" s="82">
        <f>SUM(P17:P18)</f>
        <v>5008695.6521739131</v>
      </c>
      <c r="Q19" s="82">
        <f>SUMPRODUCT(Q17:Q18,H17:H18)</f>
        <v>4989101.6347826086</v>
      </c>
    </row>
    <row r="20" spans="1:17">
      <c r="C20" s="6"/>
      <c r="D20" s="6"/>
      <c r="E20" s="6"/>
      <c r="F20" s="6"/>
      <c r="G20" s="6"/>
      <c r="H20" s="32"/>
      <c r="P20" s="56"/>
      <c r="Q20" s="56"/>
    </row>
    <row r="21" spans="1:17">
      <c r="P21" t="s">
        <v>50</v>
      </c>
      <c r="Q21" s="84">
        <f>P19-Q19</f>
        <v>19594.017391304485</v>
      </c>
    </row>
    <row r="22" spans="1:17">
      <c r="Q22" s="90">
        <f>Q21/P19</f>
        <v>3.9120000000000274E-3</v>
      </c>
    </row>
    <row r="23" spans="1:17">
      <c r="K23" s="35"/>
    </row>
    <row r="26" spans="1:17">
      <c r="C26" s="145" t="s">
        <v>51</v>
      </c>
      <c r="D26" s="145"/>
    </row>
    <row r="28" spans="1:17" ht="43.2">
      <c r="C28" s="80" t="s">
        <v>10</v>
      </c>
      <c r="D28" s="80" t="s">
        <v>26</v>
      </c>
      <c r="E28" s="80" t="s">
        <v>27</v>
      </c>
      <c r="F28" s="80" t="s">
        <v>28</v>
      </c>
      <c r="G28" s="80" t="s">
        <v>29</v>
      </c>
      <c r="H28" s="80" t="s">
        <v>30</v>
      </c>
      <c r="I28" s="80" t="s">
        <v>11</v>
      </c>
      <c r="J28" s="80" t="s">
        <v>12</v>
      </c>
      <c r="K28" s="80" t="s">
        <v>13</v>
      </c>
      <c r="L28" s="80" t="s">
        <v>31</v>
      </c>
      <c r="M28" s="80" t="s">
        <v>15</v>
      </c>
      <c r="N28" s="80" t="s">
        <v>32</v>
      </c>
      <c r="O28" s="80" t="s">
        <v>17</v>
      </c>
      <c r="P28" s="80" t="s">
        <v>33</v>
      </c>
      <c r="Q28" s="80" t="s">
        <v>69</v>
      </c>
    </row>
    <row r="29" spans="1:17">
      <c r="A29" s="143"/>
      <c r="B29" s="58"/>
      <c r="C29" s="2">
        <v>1</v>
      </c>
      <c r="D29" s="62">
        <v>9.7800000000000005E-3</v>
      </c>
      <c r="E29" s="62">
        <f>D29</f>
        <v>9.7800000000000005E-3</v>
      </c>
      <c r="F29" s="62">
        <f>(1-D29)</f>
        <v>0.99021999999999999</v>
      </c>
      <c r="G29" s="62">
        <f>1-E29</f>
        <v>0.99021999999999999</v>
      </c>
      <c r="H29" s="63">
        <f>D29</f>
        <v>9.7800000000000005E-3</v>
      </c>
      <c r="I29" s="64">
        <f>D4</f>
        <v>768994.55999999866</v>
      </c>
      <c r="J29" s="65">
        <v>0</v>
      </c>
      <c r="K29" s="66">
        <f>D3</f>
        <v>4991005.4400000004</v>
      </c>
      <c r="L29" s="67">
        <f>K29+I29</f>
        <v>5759999.9999999991</v>
      </c>
      <c r="M29" s="65">
        <f>L29</f>
        <v>5759999.9999999991</v>
      </c>
      <c r="N29" s="68">
        <v>0.15</v>
      </c>
      <c r="O29" s="69">
        <f>1/(1+N29)^C29</f>
        <v>0.86956521739130443</v>
      </c>
      <c r="P29" s="67">
        <f>O29*L29</f>
        <v>5008695.6521739131</v>
      </c>
      <c r="Q29" s="67">
        <f>D7*L29*O29</f>
        <v>2003478.260869565</v>
      </c>
    </row>
    <row r="30" spans="1:17">
      <c r="C30" s="6"/>
      <c r="D30" s="6"/>
      <c r="E30" s="6"/>
      <c r="F30" s="6"/>
      <c r="G30" s="6"/>
      <c r="H30" s="32">
        <f>SUM(H29:H29)</f>
        <v>9.7800000000000005E-3</v>
      </c>
      <c r="P30" s="56" t="s">
        <v>50</v>
      </c>
      <c r="Q30" s="84">
        <f>SUMPRODUCT(Q29:Q29,H29:H29)</f>
        <v>19594.017391304347</v>
      </c>
    </row>
    <row r="31" spans="1:17">
      <c r="C31" s="6"/>
      <c r="D31" s="6"/>
      <c r="E31" s="6"/>
      <c r="F31" s="6"/>
      <c r="G31" s="6"/>
      <c r="H31" s="32"/>
      <c r="P31" s="56"/>
      <c r="Q31" s="56"/>
    </row>
    <row r="32" spans="1:17">
      <c r="Q32" s="57"/>
    </row>
  </sheetData>
  <mergeCells count="1">
    <mergeCell ref="C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D4E1-C8A3-4F65-8EAC-210CB6BA096F}">
  <dimension ref="A2:P33"/>
  <sheetViews>
    <sheetView showGridLines="0" zoomScale="102" workbookViewId="0">
      <selection activeCell="D23" sqref="D23"/>
    </sheetView>
  </sheetViews>
  <sheetFormatPr defaultColWidth="8.88671875" defaultRowHeight="14.4"/>
  <cols>
    <col min="1" max="1" width="28" bestFit="1" customWidth="1"/>
    <col min="2" max="2" width="21.109375" customWidth="1"/>
    <col min="3" max="19" width="15.77734375" customWidth="1"/>
  </cols>
  <sheetData>
    <row r="2" spans="1:12">
      <c r="B2" s="23" t="s">
        <v>7</v>
      </c>
      <c r="C2" s="78">
        <v>4936878.3</v>
      </c>
    </row>
    <row r="3" spans="1:12">
      <c r="B3" s="23" t="s">
        <v>8</v>
      </c>
      <c r="C3" s="79">
        <v>683455.14890109829</v>
      </c>
    </row>
    <row r="4" spans="1:12">
      <c r="B4" s="23" t="s">
        <v>9</v>
      </c>
      <c r="C4" s="54">
        <v>0.15</v>
      </c>
    </row>
    <row r="5" spans="1:12">
      <c r="B5" s="23" t="s">
        <v>25</v>
      </c>
      <c r="C5" s="54">
        <v>9.7800000000000005E-3</v>
      </c>
      <c r="K5" s="1"/>
      <c r="L5" s="1"/>
    </row>
    <row r="6" spans="1:12">
      <c r="B6" s="23" t="s">
        <v>1</v>
      </c>
      <c r="C6" s="54">
        <v>0.4</v>
      </c>
    </row>
    <row r="7" spans="1:12">
      <c r="B7" s="23" t="s">
        <v>43</v>
      </c>
      <c r="C7" s="73">
        <v>45754</v>
      </c>
    </row>
    <row r="8" spans="1:12">
      <c r="B8" s="23" t="s">
        <v>55</v>
      </c>
      <c r="C8" s="100">
        <v>45390</v>
      </c>
    </row>
    <row r="9" spans="1:12">
      <c r="B9" s="23" t="s">
        <v>44</v>
      </c>
      <c r="C9" s="73">
        <v>45657</v>
      </c>
    </row>
    <row r="10" spans="1:12">
      <c r="B10" s="23" t="s">
        <v>45</v>
      </c>
      <c r="C10" s="74" t="s">
        <v>52</v>
      </c>
    </row>
    <row r="11" spans="1:12">
      <c r="B11" s="23" t="s">
        <v>47</v>
      </c>
      <c r="C11" s="53">
        <f>DATEDIF(C9,C7,"M")</f>
        <v>3</v>
      </c>
    </row>
    <row r="13" spans="1:12">
      <c r="G13" s="70"/>
    </row>
    <row r="15" spans="1:12">
      <c r="B15" s="145" t="s">
        <v>48</v>
      </c>
      <c r="C15" s="145"/>
      <c r="D15" s="145"/>
    </row>
    <row r="16" spans="1:12" ht="15" thickBot="1">
      <c r="A16" s="76"/>
    </row>
    <row r="17" spans="1:16" ht="43.5" customHeight="1">
      <c r="B17" s="59" t="s">
        <v>10</v>
      </c>
      <c r="C17" s="60" t="s">
        <v>26</v>
      </c>
      <c r="D17" s="60" t="s">
        <v>27</v>
      </c>
      <c r="E17" s="60" t="s">
        <v>28</v>
      </c>
      <c r="F17" s="60" t="s">
        <v>29</v>
      </c>
      <c r="G17" s="60" t="s">
        <v>30</v>
      </c>
      <c r="H17" s="60" t="s">
        <v>11</v>
      </c>
      <c r="I17" s="60" t="s">
        <v>12</v>
      </c>
      <c r="J17" s="60" t="s">
        <v>13</v>
      </c>
      <c r="K17" s="60" t="s">
        <v>31</v>
      </c>
      <c r="L17" s="60" t="s">
        <v>15</v>
      </c>
      <c r="M17" s="60" t="s">
        <v>32</v>
      </c>
      <c r="N17" s="60" t="s">
        <v>17</v>
      </c>
      <c r="O17" s="61" t="s">
        <v>33</v>
      </c>
      <c r="P17" s="61" t="s">
        <v>49</v>
      </c>
    </row>
    <row r="18" spans="1:16">
      <c r="A18" s="52"/>
      <c r="B18" s="2">
        <v>1</v>
      </c>
      <c r="C18" s="63">
        <v>9.7800000000000005E-3</v>
      </c>
      <c r="D18" s="63">
        <f>C18</f>
        <v>9.7800000000000005E-3</v>
      </c>
      <c r="E18" s="63">
        <f>(1-C18)</f>
        <v>0.99021999999999999</v>
      </c>
      <c r="F18" s="63">
        <f>1-D18</f>
        <v>0.99021999999999999</v>
      </c>
      <c r="G18" s="63">
        <f>C18</f>
        <v>9.7800000000000005E-3</v>
      </c>
      <c r="H18" s="66">
        <f>C3</f>
        <v>683455.14890109829</v>
      </c>
      <c r="I18" s="65">
        <v>0</v>
      </c>
      <c r="J18" s="66">
        <f>C2</f>
        <v>4936878.3</v>
      </c>
      <c r="K18" s="67">
        <f>J18+H18</f>
        <v>5620333.4489010982</v>
      </c>
      <c r="L18" s="65">
        <f>K18</f>
        <v>5620333.4489010982</v>
      </c>
      <c r="M18" s="75">
        <f>C4</f>
        <v>0.15</v>
      </c>
      <c r="N18" s="69">
        <f>1/(1+M18)^B18</f>
        <v>0.86956521739130443</v>
      </c>
      <c r="O18" s="66">
        <f>N18*K18</f>
        <v>4887246.4773053033</v>
      </c>
      <c r="P18" s="66">
        <f>(1-C6)*K18*N18</f>
        <v>2932347.8863831819</v>
      </c>
    </row>
    <row r="19" spans="1:16">
      <c r="B19" s="2">
        <v>1</v>
      </c>
      <c r="C19" s="62"/>
      <c r="D19" s="62"/>
      <c r="E19" s="62"/>
      <c r="F19" s="62"/>
      <c r="G19" s="63">
        <f>1-G18</f>
        <v>0.99021999999999999</v>
      </c>
      <c r="H19" s="66">
        <f>C3</f>
        <v>683455.14890109829</v>
      </c>
      <c r="I19" s="65">
        <v>0</v>
      </c>
      <c r="J19" s="66">
        <f>C2</f>
        <v>4936878.3</v>
      </c>
      <c r="K19" s="67">
        <f>J19+H19</f>
        <v>5620333.4489010982</v>
      </c>
      <c r="L19" s="65">
        <f>K19</f>
        <v>5620333.4489010982</v>
      </c>
      <c r="M19" s="75">
        <f>C4</f>
        <v>0.15</v>
      </c>
      <c r="N19" s="69">
        <f>1/(1+M19)^B19</f>
        <v>0.86956521739130443</v>
      </c>
      <c r="O19" s="66">
        <v>0</v>
      </c>
      <c r="P19" s="66">
        <f>K19*N19</f>
        <v>4887246.4773053033</v>
      </c>
    </row>
    <row r="20" spans="1:16">
      <c r="B20" s="6" t="s">
        <v>19</v>
      </c>
      <c r="C20" s="6"/>
      <c r="D20" s="6"/>
      <c r="E20" s="6"/>
      <c r="F20" s="6"/>
      <c r="G20" s="32">
        <f>SUM(G18:G19)</f>
        <v>1</v>
      </c>
      <c r="O20" s="84">
        <f>SUM(O18:O19)</f>
        <v>4887246.4773053033</v>
      </c>
      <c r="P20" s="84">
        <f>SUMPRODUCT(P18:P19,G18:G19)</f>
        <v>4868127.5690860851</v>
      </c>
    </row>
    <row r="21" spans="1:16">
      <c r="B21" s="6"/>
      <c r="C21" s="6"/>
      <c r="D21" s="6"/>
      <c r="E21" s="6"/>
      <c r="F21" s="6"/>
      <c r="G21" s="32"/>
      <c r="O21" s="56"/>
      <c r="P21" s="56"/>
    </row>
    <row r="22" spans="1:16">
      <c r="O22" t="s">
        <v>50</v>
      </c>
      <c r="P22" s="84">
        <f>O20-P20</f>
        <v>19118.908219218254</v>
      </c>
    </row>
    <row r="24" spans="1:16">
      <c r="J24" s="35"/>
    </row>
    <row r="26" spans="1:16">
      <c r="B26" s="145" t="s">
        <v>51</v>
      </c>
      <c r="C26" s="145"/>
    </row>
    <row r="27" spans="1:16">
      <c r="B27" s="145"/>
      <c r="C27" s="145"/>
    </row>
    <row r="28" spans="1:16" ht="15" thickBot="1"/>
    <row r="29" spans="1:16" ht="43.2">
      <c r="B29" s="59" t="s">
        <v>10</v>
      </c>
      <c r="C29" s="60" t="s">
        <v>26</v>
      </c>
      <c r="D29" s="60" t="s">
        <v>27</v>
      </c>
      <c r="E29" s="60" t="s">
        <v>28</v>
      </c>
      <c r="F29" s="60" t="s">
        <v>29</v>
      </c>
      <c r="G29" s="60" t="s">
        <v>30</v>
      </c>
      <c r="H29" s="60" t="s">
        <v>11</v>
      </c>
      <c r="I29" s="60" t="s">
        <v>12</v>
      </c>
      <c r="J29" s="60" t="s">
        <v>13</v>
      </c>
      <c r="K29" s="60" t="s">
        <v>31</v>
      </c>
      <c r="L29" s="60" t="s">
        <v>15</v>
      </c>
      <c r="M29" s="60" t="s">
        <v>32</v>
      </c>
      <c r="N29" s="60" t="s">
        <v>17</v>
      </c>
      <c r="O29" s="61" t="s">
        <v>33</v>
      </c>
      <c r="P29" s="61" t="s">
        <v>69</v>
      </c>
    </row>
    <row r="30" spans="1:16">
      <c r="A30" s="58"/>
      <c r="B30" s="2">
        <v>1</v>
      </c>
      <c r="C30" s="63">
        <v>9.7800000000000005E-3</v>
      </c>
      <c r="D30" s="63">
        <f>C30</f>
        <v>9.7800000000000005E-3</v>
      </c>
      <c r="E30" s="63">
        <f>(1-C30)</f>
        <v>0.99021999999999999</v>
      </c>
      <c r="F30" s="63">
        <f>1-D30</f>
        <v>0.99021999999999999</v>
      </c>
      <c r="G30" s="63">
        <f>C30</f>
        <v>9.7800000000000005E-3</v>
      </c>
      <c r="H30" s="66">
        <f>C3</f>
        <v>683455.14890109829</v>
      </c>
      <c r="I30" s="65">
        <v>0</v>
      </c>
      <c r="J30" s="66">
        <f>C2</f>
        <v>4936878.3</v>
      </c>
      <c r="K30" s="66">
        <f>J30+H30</f>
        <v>5620333.4489010982</v>
      </c>
      <c r="L30" s="66">
        <f>K30</f>
        <v>5620333.4489010982</v>
      </c>
      <c r="M30" s="88">
        <v>0.15</v>
      </c>
      <c r="N30" s="69">
        <f>1/(1+M30)^B30</f>
        <v>0.86956521739130443</v>
      </c>
      <c r="O30" s="66">
        <f>N30*K30</f>
        <v>4887246.4773053033</v>
      </c>
      <c r="P30" s="66">
        <f>C6*K30*N30</f>
        <v>1954898.5909221214</v>
      </c>
    </row>
    <row r="31" spans="1:16">
      <c r="B31" s="6"/>
      <c r="C31" s="6"/>
      <c r="D31" s="6"/>
      <c r="E31" s="6"/>
      <c r="F31" s="6"/>
      <c r="G31" s="32">
        <f>SUM(G30:G30)</f>
        <v>9.7800000000000005E-3</v>
      </c>
      <c r="O31" s="56" t="s">
        <v>50</v>
      </c>
      <c r="P31" s="84">
        <f>SUMPRODUCT(P30:P30,G30:G30)</f>
        <v>19118.908219218349</v>
      </c>
    </row>
    <row r="32" spans="1:16">
      <c r="B32" s="6"/>
      <c r="C32" s="6"/>
      <c r="D32" s="6"/>
      <c r="E32" s="6"/>
      <c r="F32" s="6"/>
      <c r="G32" s="32"/>
      <c r="O32" s="56"/>
      <c r="P32" s="56"/>
    </row>
    <row r="33" spans="16:16">
      <c r="P33" s="57"/>
    </row>
  </sheetData>
  <mergeCells count="2">
    <mergeCell ref="B26:C27"/>
    <mergeCell ref="B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10DB-8831-4D71-86CB-32AEBA90AAB2}">
  <dimension ref="A2:Q33"/>
  <sheetViews>
    <sheetView showGridLines="0" topLeftCell="B1" zoomScale="109" workbookViewId="0">
      <selection activeCell="D13" sqref="D13"/>
    </sheetView>
  </sheetViews>
  <sheetFormatPr defaultColWidth="8.88671875" defaultRowHeight="14.4"/>
  <cols>
    <col min="2" max="2" width="28" bestFit="1" customWidth="1"/>
    <col min="3" max="3" width="22.44140625" customWidth="1"/>
    <col min="4" max="20" width="20.21875" customWidth="1"/>
  </cols>
  <sheetData>
    <row r="2" spans="2:13">
      <c r="C2" s="23" t="s">
        <v>7</v>
      </c>
      <c r="D2" s="78">
        <v>13022164.5</v>
      </c>
    </row>
    <row r="3" spans="2:13">
      <c r="C3" s="23" t="s">
        <v>8</v>
      </c>
      <c r="D3" s="79">
        <v>1541251.6071428573</v>
      </c>
    </row>
    <row r="4" spans="2:13">
      <c r="C4" s="23" t="s">
        <v>9</v>
      </c>
      <c r="D4" s="54">
        <v>0.15</v>
      </c>
    </row>
    <row r="5" spans="2:13">
      <c r="C5" s="23" t="s">
        <v>25</v>
      </c>
      <c r="D5" s="54">
        <v>9.7800000000000005E-3</v>
      </c>
      <c r="L5" s="1"/>
      <c r="M5" s="1"/>
    </row>
    <row r="6" spans="2:13">
      <c r="C6" s="23" t="s">
        <v>1</v>
      </c>
      <c r="D6" s="54">
        <v>0.4</v>
      </c>
    </row>
    <row r="7" spans="2:13">
      <c r="C7" s="23" t="s">
        <v>43</v>
      </c>
      <c r="D7" s="52">
        <v>45810</v>
      </c>
    </row>
    <row r="8" spans="2:13">
      <c r="C8" s="23" t="s">
        <v>55</v>
      </c>
      <c r="D8" s="100">
        <v>45446</v>
      </c>
    </row>
    <row r="9" spans="2:13">
      <c r="C9" s="23" t="s">
        <v>44</v>
      </c>
      <c r="D9" s="52">
        <v>45657</v>
      </c>
    </row>
    <row r="10" spans="2:13">
      <c r="C10" s="23" t="s">
        <v>45</v>
      </c>
      <c r="D10" s="74" t="s">
        <v>53</v>
      </c>
    </row>
    <row r="11" spans="2:13">
      <c r="C11" s="23" t="s">
        <v>47</v>
      </c>
      <c r="D11" s="86">
        <f>DATEDIF(D9,D7,"M")</f>
        <v>5</v>
      </c>
    </row>
    <row r="13" spans="2:13">
      <c r="H13" s="70"/>
    </row>
    <row r="15" spans="2:13">
      <c r="C15" s="145" t="s">
        <v>48</v>
      </c>
      <c r="D15" s="145"/>
      <c r="E15" s="145"/>
    </row>
    <row r="16" spans="2:13">
      <c r="B16" s="76"/>
    </row>
    <row r="17" spans="1:17" ht="43.5" customHeight="1">
      <c r="C17" s="80" t="s">
        <v>10</v>
      </c>
      <c r="D17" s="80" t="s">
        <v>26</v>
      </c>
      <c r="E17" s="80" t="s">
        <v>27</v>
      </c>
      <c r="F17" s="80" t="s">
        <v>28</v>
      </c>
      <c r="G17" s="80" t="s">
        <v>29</v>
      </c>
      <c r="H17" s="80" t="s">
        <v>30</v>
      </c>
      <c r="I17" s="80" t="s">
        <v>11</v>
      </c>
      <c r="J17" s="80" t="s">
        <v>12</v>
      </c>
      <c r="K17" s="80" t="s">
        <v>13</v>
      </c>
      <c r="L17" s="80" t="s">
        <v>31</v>
      </c>
      <c r="M17" s="80" t="s">
        <v>15</v>
      </c>
      <c r="N17" s="80" t="s">
        <v>32</v>
      </c>
      <c r="O17" s="80" t="s">
        <v>17</v>
      </c>
      <c r="P17" s="80" t="s">
        <v>33</v>
      </c>
      <c r="Q17" s="80" t="s">
        <v>49</v>
      </c>
    </row>
    <row r="18" spans="1:17">
      <c r="B18" s="58"/>
      <c r="C18" s="2">
        <v>1</v>
      </c>
      <c r="D18" s="62">
        <v>9.7800000000000005E-3</v>
      </c>
      <c r="E18" s="62">
        <f>D18</f>
        <v>9.7800000000000005E-3</v>
      </c>
      <c r="F18" s="62">
        <f>(1-D18)</f>
        <v>0.99021999999999999</v>
      </c>
      <c r="G18" s="62">
        <f>1-E18</f>
        <v>0.99021999999999999</v>
      </c>
      <c r="H18" s="63">
        <f>D18</f>
        <v>9.7800000000000005E-3</v>
      </c>
      <c r="I18" s="81">
        <f>D3</f>
        <v>1541251.6071428573</v>
      </c>
      <c r="J18" s="65">
        <v>0</v>
      </c>
      <c r="K18" s="66">
        <f>D2</f>
        <v>13022164.5</v>
      </c>
      <c r="L18" s="67">
        <f>K18+I18</f>
        <v>14563416.107142858</v>
      </c>
      <c r="M18" s="66">
        <f>L18</f>
        <v>14563416.107142858</v>
      </c>
      <c r="N18" s="75">
        <f>D4</f>
        <v>0.15</v>
      </c>
      <c r="O18" s="69">
        <f>1/(1+N18)^C18</f>
        <v>0.86956521739130443</v>
      </c>
      <c r="P18" s="66">
        <f>O18*L18</f>
        <v>12663840.093167704</v>
      </c>
      <c r="Q18" s="66">
        <f>(1-D6)*L18*O18</f>
        <v>7598304.0559006212</v>
      </c>
    </row>
    <row r="19" spans="1:17">
      <c r="C19" s="2">
        <v>1</v>
      </c>
      <c r="D19" s="62"/>
      <c r="E19" s="62"/>
      <c r="F19" s="62"/>
      <c r="G19" s="62"/>
      <c r="H19" s="63">
        <f>1-H18</f>
        <v>0.99021999999999999</v>
      </c>
      <c r="I19" s="81">
        <f>D3</f>
        <v>1541251.6071428573</v>
      </c>
      <c r="J19" s="65">
        <v>0</v>
      </c>
      <c r="K19" s="66">
        <f>D2</f>
        <v>13022164.5</v>
      </c>
      <c r="L19" s="67">
        <f>K19+I19</f>
        <v>14563416.107142858</v>
      </c>
      <c r="M19" s="66">
        <f>L19</f>
        <v>14563416.107142858</v>
      </c>
      <c r="N19" s="75">
        <f>D4</f>
        <v>0.15</v>
      </c>
      <c r="O19" s="69">
        <f>1/(1+N19)^C19</f>
        <v>0.86956521739130443</v>
      </c>
      <c r="P19" s="66">
        <v>0</v>
      </c>
      <c r="Q19" s="66">
        <f>L19*O19</f>
        <v>12663840.093167704</v>
      </c>
    </row>
    <row r="20" spans="1:17">
      <c r="C20" s="6" t="s">
        <v>19</v>
      </c>
      <c r="D20" s="6"/>
      <c r="E20" s="6"/>
      <c r="F20" s="6"/>
      <c r="G20" s="6"/>
      <c r="H20" s="32">
        <f>SUM(H18:H19)</f>
        <v>1</v>
      </c>
      <c r="P20" s="84">
        <f>SUM(P18:P19)</f>
        <v>12663840.093167704</v>
      </c>
      <c r="Q20" s="84">
        <f>SUMPRODUCT(Q18:Q19,H18:H19)</f>
        <v>12614299.150723232</v>
      </c>
    </row>
    <row r="21" spans="1:17">
      <c r="C21" s="6"/>
      <c r="D21" s="6"/>
      <c r="E21" s="6"/>
      <c r="F21" s="6"/>
      <c r="G21" s="6"/>
      <c r="H21" s="32"/>
      <c r="P21" s="56"/>
      <c r="Q21" s="56"/>
    </row>
    <row r="22" spans="1:17">
      <c r="P22" t="s">
        <v>50</v>
      </c>
      <c r="Q22" s="84">
        <f>P20-Q20</f>
        <v>49540.942444471642</v>
      </c>
    </row>
    <row r="23" spans="1:17">
      <c r="Q23" s="87"/>
    </row>
    <row r="24" spans="1:17">
      <c r="K24" s="35"/>
    </row>
    <row r="27" spans="1:17">
      <c r="C27" s="144" t="s">
        <v>51</v>
      </c>
      <c r="D27" s="144"/>
    </row>
    <row r="29" spans="1:17" ht="43.2">
      <c r="C29" s="80" t="s">
        <v>10</v>
      </c>
      <c r="D29" s="80" t="s">
        <v>26</v>
      </c>
      <c r="E29" s="80" t="s">
        <v>27</v>
      </c>
      <c r="F29" s="80" t="s">
        <v>28</v>
      </c>
      <c r="G29" s="80" t="s">
        <v>29</v>
      </c>
      <c r="H29" s="80" t="s">
        <v>30</v>
      </c>
      <c r="I29" s="80" t="s">
        <v>11</v>
      </c>
      <c r="J29" s="80" t="s">
        <v>12</v>
      </c>
      <c r="K29" s="80" t="s">
        <v>13</v>
      </c>
      <c r="L29" s="80" t="s">
        <v>31</v>
      </c>
      <c r="M29" s="80" t="s">
        <v>15</v>
      </c>
      <c r="N29" s="80" t="s">
        <v>32</v>
      </c>
      <c r="O29" s="80" t="s">
        <v>17</v>
      </c>
      <c r="P29" s="80" t="s">
        <v>33</v>
      </c>
      <c r="Q29" s="80" t="s">
        <v>69</v>
      </c>
    </row>
    <row r="30" spans="1:17">
      <c r="A30" s="55"/>
      <c r="B30" s="58"/>
      <c r="C30" s="2">
        <v>1</v>
      </c>
      <c r="D30" s="62">
        <v>9.7800000000000005E-3</v>
      </c>
      <c r="E30" s="62">
        <f>D30</f>
        <v>9.7800000000000005E-3</v>
      </c>
      <c r="F30" s="62">
        <f>(1-D30)</f>
        <v>0.99021999999999999</v>
      </c>
      <c r="G30" s="62">
        <f>1-E30</f>
        <v>0.99021999999999999</v>
      </c>
      <c r="H30" s="63">
        <f>D30</f>
        <v>9.7800000000000005E-3</v>
      </c>
      <c r="I30" s="64">
        <f>D3</f>
        <v>1541251.6071428573</v>
      </c>
      <c r="J30" s="65">
        <v>0</v>
      </c>
      <c r="K30" s="66">
        <f>D2</f>
        <v>13022164.5</v>
      </c>
      <c r="L30" s="67">
        <f>K30+I30</f>
        <v>14563416.107142858</v>
      </c>
      <c r="M30" s="67">
        <f>L30</f>
        <v>14563416.107142858</v>
      </c>
      <c r="N30" s="68">
        <f>D4</f>
        <v>0.15</v>
      </c>
      <c r="O30" s="69">
        <f>1/(1+N30)^C30</f>
        <v>0.86956521739130443</v>
      </c>
      <c r="P30" s="64">
        <f>O30*L30</f>
        <v>12663840.093167704</v>
      </c>
      <c r="Q30" s="64">
        <f>D6*L30*O30</f>
        <v>5065536.0372670814</v>
      </c>
    </row>
    <row r="31" spans="1:17">
      <c r="C31" s="6"/>
      <c r="D31" s="6"/>
      <c r="E31" s="6"/>
      <c r="F31" s="6"/>
      <c r="G31" s="6"/>
      <c r="H31" s="32">
        <f>SUM(H30:H30)</f>
        <v>9.7800000000000005E-3</v>
      </c>
      <c r="P31" s="56" t="s">
        <v>50</v>
      </c>
      <c r="Q31" s="83">
        <f>SUMPRODUCT(Q30:Q30,H30:H30)</f>
        <v>49540.942444472057</v>
      </c>
    </row>
    <row r="32" spans="1:17">
      <c r="C32" s="6"/>
      <c r="D32" s="6"/>
      <c r="E32" s="6"/>
      <c r="F32" s="6"/>
      <c r="G32" s="6"/>
      <c r="H32" s="32"/>
      <c r="P32" s="56"/>
      <c r="Q32" s="56"/>
    </row>
    <row r="33" spans="17:17">
      <c r="Q33" s="57"/>
    </row>
  </sheetData>
  <mergeCells count="2">
    <mergeCell ref="C15:E15"/>
    <mergeCell ref="C27:D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1FC3-5FF3-4816-AF29-1F4E3E94D154}">
  <dimension ref="A2:Q33"/>
  <sheetViews>
    <sheetView showGridLines="0" zoomScale="61" workbookViewId="0">
      <selection activeCell="K27" sqref="K27"/>
    </sheetView>
  </sheetViews>
  <sheetFormatPr defaultColWidth="8.88671875" defaultRowHeight="14.4"/>
  <cols>
    <col min="2" max="2" width="28" bestFit="1" customWidth="1"/>
    <col min="3" max="3" width="21.6640625" customWidth="1"/>
    <col min="4" max="21" width="15.77734375" customWidth="1"/>
  </cols>
  <sheetData>
    <row r="2" spans="3:13">
      <c r="C2" s="23" t="s">
        <v>7</v>
      </c>
      <c r="D2" s="78">
        <v>10929152</v>
      </c>
    </row>
    <row r="3" spans="3:13">
      <c r="C3" s="23" t="s">
        <v>8</v>
      </c>
      <c r="D3" s="79">
        <v>995600</v>
      </c>
    </row>
    <row r="4" spans="3:13">
      <c r="C4" s="23" t="s">
        <v>9</v>
      </c>
      <c r="D4" s="54">
        <v>1.1499999999999999</v>
      </c>
    </row>
    <row r="5" spans="3:13">
      <c r="C5" s="23" t="s">
        <v>25</v>
      </c>
      <c r="D5" s="54">
        <v>9.7800000000000005E-3</v>
      </c>
      <c r="L5" s="1"/>
      <c r="M5" s="1"/>
    </row>
    <row r="6" spans="3:13">
      <c r="C6" s="23" t="s">
        <v>1</v>
      </c>
      <c r="D6" s="54">
        <v>0.4</v>
      </c>
    </row>
    <row r="7" spans="3:13">
      <c r="C7" s="23" t="s">
        <v>43</v>
      </c>
      <c r="D7" s="52">
        <v>45905</v>
      </c>
    </row>
    <row r="8" spans="3:13">
      <c r="C8" s="23" t="s">
        <v>55</v>
      </c>
      <c r="D8" s="100">
        <v>45541</v>
      </c>
    </row>
    <row r="9" spans="3:13">
      <c r="C9" s="23" t="s">
        <v>44</v>
      </c>
      <c r="D9" s="73">
        <v>45657</v>
      </c>
      <c r="E9" s="71"/>
    </row>
    <row r="10" spans="3:13">
      <c r="C10" s="23" t="s">
        <v>45</v>
      </c>
      <c r="D10" s="74" t="s">
        <v>54</v>
      </c>
    </row>
    <row r="11" spans="3:13">
      <c r="C11" s="23" t="s">
        <v>47</v>
      </c>
      <c r="D11" s="53">
        <f>DATEDIF(D9,D7,"M")</f>
        <v>8</v>
      </c>
    </row>
    <row r="14" spans="3:13">
      <c r="F14" s="85"/>
      <c r="H14" s="70"/>
    </row>
    <row r="15" spans="3:13">
      <c r="C15" s="147" t="s">
        <v>48</v>
      </c>
      <c r="F15" s="85"/>
    </row>
    <row r="17" spans="1:17" ht="43.5" customHeight="1">
      <c r="C17" s="80" t="s">
        <v>10</v>
      </c>
      <c r="D17" s="80" t="s">
        <v>26</v>
      </c>
      <c r="E17" s="80" t="s">
        <v>27</v>
      </c>
      <c r="F17" s="80" t="s">
        <v>28</v>
      </c>
      <c r="G17" s="80" t="s">
        <v>29</v>
      </c>
      <c r="H17" s="80" t="s">
        <v>30</v>
      </c>
      <c r="I17" s="80" t="s">
        <v>11</v>
      </c>
      <c r="J17" s="80" t="s">
        <v>12</v>
      </c>
      <c r="K17" s="80" t="s">
        <v>13</v>
      </c>
      <c r="L17" s="80" t="s">
        <v>31</v>
      </c>
      <c r="M17" s="80" t="s">
        <v>15</v>
      </c>
      <c r="N17" s="80" t="s">
        <v>32</v>
      </c>
      <c r="O17" s="80" t="s">
        <v>17</v>
      </c>
      <c r="P17" s="80" t="s">
        <v>33</v>
      </c>
      <c r="Q17" s="80" t="s">
        <v>49</v>
      </c>
    </row>
    <row r="18" spans="1:17">
      <c r="B18" s="58"/>
      <c r="C18" s="2">
        <v>1</v>
      </c>
      <c r="D18" s="62">
        <v>9.7800000000000005E-3</v>
      </c>
      <c r="E18" s="62">
        <f>D18</f>
        <v>9.7800000000000005E-3</v>
      </c>
      <c r="F18" s="62">
        <f>(1-D18)</f>
        <v>0.99021999999999999</v>
      </c>
      <c r="G18" s="62">
        <f>1-E18</f>
        <v>0.99021999999999999</v>
      </c>
      <c r="H18" s="63">
        <f>D18</f>
        <v>9.7800000000000005E-3</v>
      </c>
      <c r="I18" s="81">
        <f>D3</f>
        <v>995600</v>
      </c>
      <c r="J18" s="65">
        <v>0</v>
      </c>
      <c r="K18" s="66">
        <f>D2</f>
        <v>10929152</v>
      </c>
      <c r="L18" s="67">
        <f>K18+I18</f>
        <v>11924752</v>
      </c>
      <c r="M18" s="66">
        <f>L18</f>
        <v>11924752</v>
      </c>
      <c r="N18" s="75">
        <f>D4</f>
        <v>1.1499999999999999</v>
      </c>
      <c r="O18" s="69">
        <f>1/(1+N18)^C18</f>
        <v>0.46511627906976744</v>
      </c>
      <c r="P18" s="67">
        <f>O18*L18</f>
        <v>5546396.2790697673</v>
      </c>
      <c r="Q18" s="67">
        <f>(1-D6)*L18*O18</f>
        <v>3327837.7674418604</v>
      </c>
    </row>
    <row r="19" spans="1:17">
      <c r="C19" s="2">
        <v>1</v>
      </c>
      <c r="D19" s="62"/>
      <c r="E19" s="62"/>
      <c r="F19" s="62"/>
      <c r="G19" s="62"/>
      <c r="H19" s="63">
        <f>1-H18</f>
        <v>0.99021999999999999</v>
      </c>
      <c r="I19" s="81">
        <f>D3</f>
        <v>995600</v>
      </c>
      <c r="J19" s="65">
        <v>0</v>
      </c>
      <c r="K19" s="66">
        <f>D2</f>
        <v>10929152</v>
      </c>
      <c r="L19" s="67">
        <f>K19+I19</f>
        <v>11924752</v>
      </c>
      <c r="M19" s="66">
        <f>L19</f>
        <v>11924752</v>
      </c>
      <c r="N19" s="75">
        <f>D4</f>
        <v>1.1499999999999999</v>
      </c>
      <c r="O19" s="69">
        <f>1/(1+N19)^C19</f>
        <v>0.46511627906976744</v>
      </c>
      <c r="P19" s="67">
        <v>0</v>
      </c>
      <c r="Q19" s="67">
        <f>L19*O19</f>
        <v>5546396.2790697673</v>
      </c>
    </row>
    <row r="20" spans="1:17">
      <c r="C20" s="6" t="s">
        <v>19</v>
      </c>
      <c r="D20" s="6"/>
      <c r="E20" s="6"/>
      <c r="F20" s="6"/>
      <c r="G20" s="6"/>
      <c r="H20" s="32">
        <f>SUM(H18:H19)</f>
        <v>1</v>
      </c>
      <c r="P20" s="82">
        <f>SUM(P18:P19)</f>
        <v>5546396.2790697673</v>
      </c>
      <c r="Q20" s="82">
        <f>SUMPRODUCT(Q18:Q19,H18:H19)</f>
        <v>5524698.7768260464</v>
      </c>
    </row>
    <row r="21" spans="1:17">
      <c r="C21" s="6"/>
      <c r="D21" s="6"/>
      <c r="E21" s="6"/>
      <c r="F21" s="6"/>
      <c r="G21" s="6"/>
      <c r="H21" s="32"/>
      <c r="P21" s="56"/>
      <c r="Q21" s="56"/>
    </row>
    <row r="22" spans="1:17">
      <c r="P22" t="s">
        <v>50</v>
      </c>
      <c r="Q22" s="89">
        <f>P20-Q20</f>
        <v>21697.502243720926</v>
      </c>
    </row>
    <row r="24" spans="1:17">
      <c r="K24" s="35"/>
    </row>
    <row r="27" spans="1:17">
      <c r="C27" s="147" t="s">
        <v>51</v>
      </c>
    </row>
    <row r="29" spans="1:17" ht="43.2">
      <c r="C29" s="80" t="s">
        <v>10</v>
      </c>
      <c r="D29" s="80" t="s">
        <v>26</v>
      </c>
      <c r="E29" s="80" t="s">
        <v>27</v>
      </c>
      <c r="F29" s="80" t="s">
        <v>28</v>
      </c>
      <c r="G29" s="80" t="s">
        <v>29</v>
      </c>
      <c r="H29" s="80" t="s">
        <v>30</v>
      </c>
      <c r="I29" s="80" t="s">
        <v>11</v>
      </c>
      <c r="J29" s="80" t="s">
        <v>12</v>
      </c>
      <c r="K29" s="80" t="s">
        <v>13</v>
      </c>
      <c r="L29" s="80" t="s">
        <v>31</v>
      </c>
      <c r="M29" s="80" t="s">
        <v>15</v>
      </c>
      <c r="N29" s="80" t="s">
        <v>32</v>
      </c>
      <c r="O29" s="80" t="s">
        <v>17</v>
      </c>
      <c r="P29" s="80" t="s">
        <v>33</v>
      </c>
      <c r="Q29" s="80" t="s">
        <v>69</v>
      </c>
    </row>
    <row r="30" spans="1:17">
      <c r="A30" s="55"/>
      <c r="B30" s="58"/>
      <c r="C30" s="2">
        <v>1</v>
      </c>
      <c r="D30" s="62">
        <v>9.7800000000000005E-3</v>
      </c>
      <c r="E30" s="62">
        <f>D30</f>
        <v>9.7800000000000005E-3</v>
      </c>
      <c r="F30" s="62">
        <f>(1-D30)</f>
        <v>0.99021999999999999</v>
      </c>
      <c r="G30" s="62">
        <f>1-E30</f>
        <v>0.99021999999999999</v>
      </c>
      <c r="H30" s="72">
        <f>D30</f>
        <v>9.7800000000000005E-3</v>
      </c>
      <c r="I30" s="64">
        <f>D3</f>
        <v>995600</v>
      </c>
      <c r="J30" s="65">
        <v>0</v>
      </c>
      <c r="K30" s="66">
        <f>D2</f>
        <v>10929152</v>
      </c>
      <c r="L30" s="67">
        <f>K30+I30</f>
        <v>11924752</v>
      </c>
      <c r="M30" s="67">
        <f>L30</f>
        <v>11924752</v>
      </c>
      <c r="N30" s="68">
        <f>D4</f>
        <v>1.1499999999999999</v>
      </c>
      <c r="O30" s="69">
        <f>1/(1+N30)^C30</f>
        <v>0.46511627906976744</v>
      </c>
      <c r="P30" s="66">
        <f>O30*L30</f>
        <v>5546396.2790697673</v>
      </c>
      <c r="Q30" s="66">
        <f>D6*L30*O30</f>
        <v>2218558.5116279069</v>
      </c>
    </row>
    <row r="31" spans="1:17">
      <c r="C31" s="6"/>
      <c r="D31" s="6"/>
      <c r="E31" s="6"/>
      <c r="F31" s="6"/>
      <c r="G31" s="6"/>
      <c r="H31" s="32">
        <f>SUM(H30:H30)</f>
        <v>9.7800000000000005E-3</v>
      </c>
      <c r="P31" s="56" t="s">
        <v>50</v>
      </c>
      <c r="Q31" s="84">
        <f>SUMPRODUCT(Q30:Q30,H30:H30)</f>
        <v>21697.50224372093</v>
      </c>
    </row>
    <row r="32" spans="1:17">
      <c r="C32" s="6"/>
      <c r="D32" s="6"/>
      <c r="E32" s="6"/>
      <c r="F32" s="6"/>
      <c r="G32" s="6"/>
      <c r="H32" s="32"/>
      <c r="P32" s="56"/>
      <c r="Q32" s="56"/>
    </row>
    <row r="33" spans="17:17">
      <c r="Q33" s="5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572F-EF72-4EAE-98D9-900818D3797B}">
  <dimension ref="B4:S25"/>
  <sheetViews>
    <sheetView showGridLines="0" tabSelected="1" topLeftCell="A5" zoomScale="102" zoomScaleNormal="106" workbookViewId="0">
      <selection activeCell="C24" sqref="C24"/>
    </sheetView>
  </sheetViews>
  <sheetFormatPr defaultRowHeight="14.4"/>
  <cols>
    <col min="1" max="14" width="15.77734375" customWidth="1"/>
  </cols>
  <sheetData>
    <row r="4" spans="2:19">
      <c r="B4" s="98" t="s">
        <v>63</v>
      </c>
      <c r="C4" s="98"/>
    </row>
    <row r="5" spans="2:19">
      <c r="B5" s="108" t="s">
        <v>61</v>
      </c>
      <c r="C5" s="109">
        <v>9.7999999999999997E-3</v>
      </c>
    </row>
    <row r="6" spans="2:19">
      <c r="B6" s="110" t="s">
        <v>62</v>
      </c>
      <c r="C6" s="111">
        <f>1-C5</f>
        <v>0.99019999999999997</v>
      </c>
    </row>
    <row r="7" spans="2:19">
      <c r="B7" s="99"/>
      <c r="C7" s="106"/>
    </row>
    <row r="8" spans="2:19" ht="15" thickBot="1">
      <c r="B8" s="141" t="s">
        <v>67</v>
      </c>
      <c r="C8" s="141"/>
    </row>
    <row r="9" spans="2:19" ht="15.6" thickTop="1" thickBot="1">
      <c r="B9" s="107"/>
      <c r="C9" s="107"/>
      <c r="D9" s="107"/>
      <c r="E9" s="107"/>
      <c r="F9" s="107"/>
      <c r="G9" s="107"/>
      <c r="H9" s="107"/>
      <c r="I9" s="107"/>
      <c r="J9" s="107"/>
      <c r="K9" s="125" t="s">
        <v>49</v>
      </c>
      <c r="L9" s="126"/>
      <c r="M9" s="127"/>
    </row>
    <row r="10" spans="2:19" ht="25.2" customHeight="1" thickTop="1">
      <c r="B10" s="128" t="s">
        <v>45</v>
      </c>
      <c r="C10" s="129" t="s">
        <v>55</v>
      </c>
      <c r="D10" s="129" t="s">
        <v>43</v>
      </c>
      <c r="E10" s="129" t="s">
        <v>56</v>
      </c>
      <c r="F10" s="129" t="s">
        <v>57</v>
      </c>
      <c r="G10" s="129" t="s">
        <v>58</v>
      </c>
      <c r="H10" s="129" t="s">
        <v>59</v>
      </c>
      <c r="I10" s="129" t="s">
        <v>60</v>
      </c>
      <c r="J10" s="129" t="s">
        <v>33</v>
      </c>
      <c r="K10" s="130" t="s">
        <v>64</v>
      </c>
      <c r="L10" s="131" t="s">
        <v>66</v>
      </c>
      <c r="M10" s="130" t="s">
        <v>65</v>
      </c>
      <c r="N10" s="132" t="s">
        <v>50</v>
      </c>
      <c r="O10" s="43"/>
      <c r="P10" s="43"/>
      <c r="Q10" s="43"/>
      <c r="R10" s="43"/>
      <c r="S10" s="43"/>
    </row>
    <row r="11" spans="2:19">
      <c r="B11" s="112" t="s">
        <v>46</v>
      </c>
      <c r="C11" s="113">
        <v>45320</v>
      </c>
      <c r="D11" s="113">
        <f>'TB ZM3000011467'!D8</f>
        <v>45684</v>
      </c>
      <c r="E11" s="114">
        <f>'TB ZM3000011467'!D3</f>
        <v>4991005.4400000004</v>
      </c>
      <c r="F11" s="115">
        <f>'TB ZM3000011467'!L17</f>
        <v>5759999.9999999991</v>
      </c>
      <c r="G11" s="115">
        <f>'TB ZM3000011467'!D4</f>
        <v>768994.55999999866</v>
      </c>
      <c r="H11" s="116">
        <f>'TB ZM3000011467'!D5</f>
        <v>0.15</v>
      </c>
      <c r="I11" s="117">
        <f>1/(1+H11)^1</f>
        <v>0.86956521739130443</v>
      </c>
      <c r="J11" s="118">
        <f>I11*F11</f>
        <v>5008695.6521739131</v>
      </c>
      <c r="K11" s="118">
        <f>'TB ZM3000011467'!Q17</f>
        <v>3005217.3913043477</v>
      </c>
      <c r="L11" s="118">
        <f>'TB ZM3000011467'!Q18</f>
        <v>5008695.6521739131</v>
      </c>
      <c r="M11" s="118">
        <f>'TB ZM3000011467'!Q19</f>
        <v>4989101.6347826086</v>
      </c>
      <c r="N11" s="119">
        <f>'TB ZM3000011467'!Q21</f>
        <v>19594.017391304485</v>
      </c>
    </row>
    <row r="12" spans="2:19">
      <c r="B12" s="96" t="s">
        <v>52</v>
      </c>
      <c r="C12" s="100">
        <v>45390</v>
      </c>
      <c r="D12" s="100">
        <f>'TB ZM3000011665'!C7</f>
        <v>45754</v>
      </c>
      <c r="E12" s="101">
        <f>'TB ZM3000011665'!C2</f>
        <v>4936878.3</v>
      </c>
      <c r="F12" s="102">
        <f>'TB ZM3000011665'!K18</f>
        <v>5620333.4489010982</v>
      </c>
      <c r="G12" s="102">
        <f>'TB ZM3000011665'!C3</f>
        <v>683455.14890109829</v>
      </c>
      <c r="H12" s="103">
        <f>'TB ZM3000011665'!C4</f>
        <v>0.15</v>
      </c>
      <c r="I12" s="104">
        <f t="shared" ref="I12" si="0">1/(1+H12)^1</f>
        <v>0.86956521739130443</v>
      </c>
      <c r="J12" s="105">
        <f t="shared" ref="J12:J14" si="1">I12*F12</f>
        <v>4887246.4773053033</v>
      </c>
      <c r="K12" s="105">
        <f>'TB ZM3000011665'!P18</f>
        <v>2932347.8863831819</v>
      </c>
      <c r="L12" s="105">
        <f>'TB ZM3000011665'!P19</f>
        <v>4887246.4773053033</v>
      </c>
      <c r="M12" s="105">
        <f>'TB ZM3000011665'!P20</f>
        <v>4868127.5690860851</v>
      </c>
      <c r="N12" s="120">
        <f>'TB ZM3000011665'!P22</f>
        <v>19118.908219218254</v>
      </c>
    </row>
    <row r="13" spans="2:19">
      <c r="B13" s="96" t="s">
        <v>53</v>
      </c>
      <c r="C13" s="100">
        <v>45446</v>
      </c>
      <c r="D13" s="100">
        <f>'TB ZM3000011822'!D7</f>
        <v>45810</v>
      </c>
      <c r="E13" s="101">
        <f>'TB ZM3000011822'!D2</f>
        <v>13022164.5</v>
      </c>
      <c r="F13" s="102">
        <f>'TB ZM3000011822'!L18</f>
        <v>14563416.107142858</v>
      </c>
      <c r="G13" s="102">
        <f>'TB ZM3000011822'!D3</f>
        <v>1541251.6071428573</v>
      </c>
      <c r="H13" s="103">
        <f>'TB ZM3000011822'!D4</f>
        <v>0.15</v>
      </c>
      <c r="I13" s="104">
        <f>1/(1+H13)^1</f>
        <v>0.86956521739130443</v>
      </c>
      <c r="J13" s="105">
        <f t="shared" si="1"/>
        <v>12663840.093167704</v>
      </c>
      <c r="K13" s="105">
        <f>'TB ZM3000011822'!Q18</f>
        <v>7598304.0559006212</v>
      </c>
      <c r="L13" s="105">
        <f>'TB ZM3000011822'!Q19</f>
        <v>12663840.093167704</v>
      </c>
      <c r="M13" s="105">
        <f>'TB ZM3000011822'!Q20</f>
        <v>12614299.150723232</v>
      </c>
      <c r="N13" s="120">
        <f>'TB ZM3000011822'!Q22</f>
        <v>49540.942444471642</v>
      </c>
    </row>
    <row r="14" spans="2:19">
      <c r="B14" s="96" t="s">
        <v>54</v>
      </c>
      <c r="C14" s="100">
        <v>45541</v>
      </c>
      <c r="D14" s="100">
        <f>'TB ZM3000012101 '!D7</f>
        <v>45905</v>
      </c>
      <c r="E14" s="101">
        <f>'TB ZM3000012101 '!D2</f>
        <v>10929152</v>
      </c>
      <c r="F14" s="102">
        <f>'TB ZM3000012101 '!M18</f>
        <v>11924752</v>
      </c>
      <c r="G14" s="102">
        <f>'TB ZM3000012101 '!D3</f>
        <v>995600</v>
      </c>
      <c r="H14" s="103">
        <f>'TB ZM3000012101 '!D4</f>
        <v>1.1499999999999999</v>
      </c>
      <c r="I14" s="104">
        <f>1/(1+H14)^1</f>
        <v>0.46511627906976744</v>
      </c>
      <c r="J14" s="105">
        <f t="shared" si="1"/>
        <v>5546396.2790697673</v>
      </c>
      <c r="K14" s="105">
        <f>'TB ZM3000012101 '!Q18</f>
        <v>3327837.7674418604</v>
      </c>
      <c r="L14" s="105">
        <f>'TB ZM3000012101 '!Q19</f>
        <v>5546396.2790697673</v>
      </c>
      <c r="M14" s="105">
        <f>'TB ZM3000012101 '!Q20</f>
        <v>5524698.7768260464</v>
      </c>
      <c r="N14" s="120">
        <f>'TB ZM3000012101 '!Q22</f>
        <v>21697.502243720926</v>
      </c>
    </row>
    <row r="15" spans="2:19">
      <c r="B15" s="121"/>
      <c r="C15" s="122"/>
      <c r="D15" s="122"/>
      <c r="E15" s="122"/>
      <c r="F15" s="122"/>
      <c r="G15" s="122"/>
      <c r="H15" s="122"/>
      <c r="I15" s="122"/>
      <c r="J15" s="123"/>
      <c r="K15" s="122"/>
      <c r="L15" s="122"/>
      <c r="M15" s="122"/>
      <c r="N15" s="124"/>
    </row>
    <row r="16" spans="2:19">
      <c r="I16" s="97"/>
    </row>
    <row r="18" spans="2:14">
      <c r="B18" s="142" t="s">
        <v>68</v>
      </c>
      <c r="C18" s="142"/>
    </row>
    <row r="19" spans="2:14">
      <c r="B19" s="133"/>
      <c r="C19" s="133"/>
    </row>
    <row r="20" spans="2:14" ht="43.2">
      <c r="B20" s="128" t="s">
        <v>45</v>
      </c>
      <c r="C20" s="129" t="s">
        <v>55</v>
      </c>
      <c r="D20" s="129" t="s">
        <v>43</v>
      </c>
      <c r="E20" s="129" t="s">
        <v>56</v>
      </c>
      <c r="F20" s="129" t="s">
        <v>57</v>
      </c>
      <c r="G20" s="129" t="s">
        <v>58</v>
      </c>
      <c r="H20" s="129" t="s">
        <v>59</v>
      </c>
      <c r="I20" s="129" t="s">
        <v>60</v>
      </c>
      <c r="J20" s="129" t="s">
        <v>33</v>
      </c>
      <c r="K20" s="129" t="s">
        <v>69</v>
      </c>
      <c r="L20" s="132" t="s">
        <v>50</v>
      </c>
      <c r="M20" s="134"/>
      <c r="N20" s="134"/>
    </row>
    <row r="21" spans="2:14">
      <c r="B21" s="112" t="s">
        <v>46</v>
      </c>
      <c r="C21" s="113">
        <v>45320</v>
      </c>
      <c r="D21" s="135">
        <f>D11</f>
        <v>45684</v>
      </c>
      <c r="E21" s="136">
        <f>E11</f>
        <v>4991005.4400000004</v>
      </c>
      <c r="F21" s="136">
        <f>F11</f>
        <v>5759999.9999999991</v>
      </c>
      <c r="G21" s="136">
        <f>G11</f>
        <v>768994.55999999866</v>
      </c>
      <c r="H21" s="137">
        <f>H11</f>
        <v>0.15</v>
      </c>
      <c r="I21" s="136">
        <f>1/(1+H21)^1</f>
        <v>0.86956521739130443</v>
      </c>
      <c r="J21" s="136">
        <f>F21*I21</f>
        <v>5008695.6521739131</v>
      </c>
      <c r="K21" s="138">
        <f>'TB ZM3000011467'!Q29</f>
        <v>2003478.260869565</v>
      </c>
      <c r="L21" s="139">
        <f>'TB ZM3000011467'!Q30</f>
        <v>19594.017391304347</v>
      </c>
    </row>
    <row r="22" spans="2:14">
      <c r="B22" s="96" t="s">
        <v>52</v>
      </c>
      <c r="C22" s="100">
        <v>45390</v>
      </c>
      <c r="D22" s="135">
        <f>D12</f>
        <v>45754</v>
      </c>
      <c r="E22" s="136">
        <f>E12</f>
        <v>4936878.3</v>
      </c>
      <c r="F22" s="136">
        <f>F12</f>
        <v>5620333.4489010982</v>
      </c>
      <c r="G22" s="136">
        <f>G12</f>
        <v>683455.14890109829</v>
      </c>
      <c r="H22" s="137">
        <f>H12</f>
        <v>0.15</v>
      </c>
      <c r="I22" s="136">
        <f t="shared" ref="I22:I24" si="2">1/(1+H22)^1</f>
        <v>0.86956521739130443</v>
      </c>
      <c r="J22" s="136">
        <f t="shared" ref="J22:J24" si="3">F22*I22</f>
        <v>4887246.4773053033</v>
      </c>
      <c r="K22" s="105">
        <f>'TB ZM3000011665'!P30</f>
        <v>1954898.5909221214</v>
      </c>
      <c r="L22" s="120">
        <f>'TB ZM3000011665'!P31</f>
        <v>19118.908219218349</v>
      </c>
    </row>
    <row r="23" spans="2:14">
      <c r="B23" s="96" t="s">
        <v>53</v>
      </c>
      <c r="C23" s="100">
        <v>45446</v>
      </c>
      <c r="D23" s="135">
        <f>D13</f>
        <v>45810</v>
      </c>
      <c r="E23" s="136">
        <f>E13</f>
        <v>13022164.5</v>
      </c>
      <c r="F23" s="136">
        <f>F13</f>
        <v>14563416.107142858</v>
      </c>
      <c r="G23" s="136">
        <f>G13</f>
        <v>1541251.6071428573</v>
      </c>
      <c r="H23" s="137">
        <f>H13</f>
        <v>0.15</v>
      </c>
      <c r="I23" s="136">
        <f t="shared" si="2"/>
        <v>0.86956521739130443</v>
      </c>
      <c r="J23" s="136">
        <f t="shared" si="3"/>
        <v>12663840.093167704</v>
      </c>
      <c r="K23" s="107">
        <f>'TB ZM3000011822'!Q30</f>
        <v>5065536.0372670814</v>
      </c>
      <c r="L23" s="140">
        <f>'TB ZM3000011822'!Q31</f>
        <v>49540.942444472057</v>
      </c>
    </row>
    <row r="24" spans="2:14">
      <c r="B24" s="96" t="s">
        <v>54</v>
      </c>
      <c r="C24" s="100">
        <v>45541</v>
      </c>
      <c r="D24" s="135">
        <f>D14</f>
        <v>45905</v>
      </c>
      <c r="E24" s="136">
        <f>E14</f>
        <v>10929152</v>
      </c>
      <c r="F24" s="136">
        <f>F14</f>
        <v>11924752</v>
      </c>
      <c r="G24" s="136">
        <f>G14</f>
        <v>995600</v>
      </c>
      <c r="H24" s="137">
        <f>H14</f>
        <v>1.1499999999999999</v>
      </c>
      <c r="I24" s="136">
        <f t="shared" si="2"/>
        <v>0.46511627906976744</v>
      </c>
      <c r="J24" s="136">
        <f t="shared" si="3"/>
        <v>5546396.2790697673</v>
      </c>
      <c r="K24" s="105">
        <f>'TB ZM3000012101 '!Q30</f>
        <v>2218558.5116279069</v>
      </c>
      <c r="L24" s="120">
        <f>'TB ZM3000012101 '!Q31</f>
        <v>21697.50224372093</v>
      </c>
    </row>
    <row r="25" spans="2:14">
      <c r="B25" s="121"/>
      <c r="C25" s="122"/>
      <c r="D25" s="122"/>
      <c r="E25" s="122"/>
      <c r="F25" s="122"/>
      <c r="G25" s="122"/>
      <c r="H25" s="122"/>
      <c r="I25" s="122"/>
      <c r="J25" s="122"/>
      <c r="K25" s="122"/>
      <c r="L25" s="124"/>
    </row>
  </sheetData>
  <mergeCells count="4">
    <mergeCell ref="B4:C4"/>
    <mergeCell ref="K9:M9"/>
    <mergeCell ref="B8:C8"/>
    <mergeCell ref="B18:C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996DB1EE7F747B797058B7D6CF4ED" ma:contentTypeVersion="11" ma:contentTypeDescription="Create a new document." ma:contentTypeScope="" ma:versionID="927ac0f3889544e27fe324b7472b72d7">
  <xsd:schema xmlns:xsd="http://www.w3.org/2001/XMLSchema" xmlns:xs="http://www.w3.org/2001/XMLSchema" xmlns:p="http://schemas.microsoft.com/office/2006/metadata/properties" xmlns:ns2="1e987c18-c08e-407b-9c31-150449cbaec0" xmlns:ns3="a0220c90-0dbb-46a8-a885-55c1dd23be02" targetNamespace="http://schemas.microsoft.com/office/2006/metadata/properties" ma:root="true" ma:fieldsID="07258f7e72c1072276c5109dacf820da" ns2:_="" ns3:_="">
    <xsd:import namespace="1e987c18-c08e-407b-9c31-150449cbaec0"/>
    <xsd:import namespace="a0220c90-0dbb-46a8-a885-55c1dd23be0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87c18-c08e-407b-9c31-150449cbaec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a02099e-a6d5-4010-82a7-0fa6f3f849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20c90-0dbb-46a8-a885-55c1dd23be0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8c1e798-32ea-416f-9aab-ba61b62871c8}" ma:internalName="TaxCatchAll" ma:showField="CatchAllData" ma:web="a0220c90-0dbb-46a8-a885-55c1dd23b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987c18-c08e-407b-9c31-150449cbaec0">
      <Terms xmlns="http://schemas.microsoft.com/office/infopath/2007/PartnerControls"/>
    </lcf76f155ced4ddcb4097134ff3c332f>
    <TaxCatchAll xmlns="a0220c90-0dbb-46a8-a885-55c1dd23be02" xsi:nil="true"/>
  </documentManagement>
</p:properties>
</file>

<file path=customXml/itemProps1.xml><?xml version="1.0" encoding="utf-8"?>
<ds:datastoreItem xmlns:ds="http://schemas.openxmlformats.org/officeDocument/2006/customXml" ds:itemID="{17CF1D22-A727-45F2-A50D-AFF14C2D56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B149F-D168-47E5-9B50-0981509CD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87c18-c08e-407b-9c31-150449cbaec0"/>
    <ds:schemaRef ds:uri="a0220c90-0dbb-46a8-a885-55c1dd23be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E722F1-9225-45F0-96BB-F3A93FB29A99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a0220c90-0dbb-46a8-a885-55c1dd23be02"/>
    <ds:schemaRef ds:uri="1e987c18-c08e-407b-9c31-150449cbaec0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ContractualCashflows</vt:lpstr>
      <vt:lpstr>Valuation</vt:lpstr>
      <vt:lpstr>TB ZM3000011467</vt:lpstr>
      <vt:lpstr>TB ZM3000011665</vt:lpstr>
      <vt:lpstr>TB ZM3000011822</vt:lpstr>
      <vt:lpstr>TB ZM3000012101 </vt:lpstr>
      <vt:lpstr>ECL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blessing mudavanhu</dc:creator>
  <cp:keywords/>
  <dc:description/>
  <cp:lastModifiedBy>Millicent Qochiwa</cp:lastModifiedBy>
  <cp:revision/>
  <dcterms:created xsi:type="dcterms:W3CDTF">2018-04-11T20:32:27Z</dcterms:created>
  <dcterms:modified xsi:type="dcterms:W3CDTF">2025-03-03T21:08:55Z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0x0101007CE996DB1EE7F747B797058B7D6CF4ED</vt:lpwstr>
  </property>
  <property fmtid="{D5CDD505-2E9C-101B-9397-08002B2CF9AE}" pid="3" name="MediaServiceImageTags">
    <vt:lpwstr/>
  </property>
</Properties>
</file>