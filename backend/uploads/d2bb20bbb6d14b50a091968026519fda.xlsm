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externalLinks/externalLink1.xml" ContentType="application/vnd.openxmlformats-officedocument.spreadsheetml.externalLink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inotendamuchabaiwa/Documents/Capital/2026/February/First Mutual Legacy Debt/"/>
    </mc:Choice>
  </mc:AlternateContent>
  <xr:revisionPtr revIDLastSave="0" documentId="8_{62BA84DB-E930-1443-883A-059B0D345FD4}" xr6:coauthVersionLast="47" xr6:coauthVersionMax="47" xr10:uidLastSave="{00000000-0000-0000-0000-000000000000}"/>
  <bookViews>
    <workbookView xWindow="0" yWindow="740" windowWidth="29400" windowHeight="17320" activeTab="1" xr2:uid="{9BF659A4-4BD9-4D40-B30D-A0ECB4B07683}"/>
  </bookViews>
  <sheets>
    <sheet name="Market Inputs " sheetId="2" r:id="rId1"/>
    <sheet name="Legacy Debt" sheetId="3" r:id="rId2"/>
  </sheets>
  <functionGroups builtInGroupCount="19"/>
  <externalReferences>
    <externalReference r:id="rId3"/>
  </externalReferences>
  <definedNames>
    <definedName name="_xleta.RATE" hidden="1" xlm="1">#NAME?</definedName>
    <definedName name="_xlpm.b0" hidden="1" xlm="1">#NAME?</definedName>
    <definedName name="_xlpm.t" hidden="1" xlm="1">#NAME?</definedName>
    <definedName name="solver_adj" localSheetId="0" hidden="1">'Market Inputs '!$H$7:$H$12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'Market Inputs '!$F$19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3" i="3" l="1"/>
  <c r="M24" i="3"/>
  <c r="N28" i="3"/>
  <c r="N24" i="3" l="1"/>
  <c r="D34" i="3"/>
  <c r="D40" i="3" s="1"/>
  <c r="M29" i="3"/>
  <c r="N29" i="3" s="1"/>
  <c r="K29" i="3"/>
  <c r="L28" i="3"/>
  <c r="D16" i="3"/>
  <c r="C46" i="3"/>
  <c r="I29" i="3" s="1"/>
  <c r="XFD1048575" i="2" a="1"/>
  <c r="XFD1048575" i="2" s="1"/>
  <c r="XFD1048574" i="2" a="1"/>
  <c r="XFD1048574" i="2" s="1"/>
  <c r="XFD1048573" i="2" a="1"/>
  <c r="XFD1048573" i="2" s="1"/>
  <c r="XFD1048572" i="2" a="1"/>
  <c r="XFD1048572" i="2" s="1"/>
  <c r="XFD1048571" i="2" a="1"/>
  <c r="XFD1048571" i="2" s="1"/>
  <c r="XFD1048570" i="2" a="1"/>
  <c r="XFD1048570" i="2" s="1"/>
  <c r="XFD1048569" i="2" a="1"/>
  <c r="XFD1048569" i="2" s="1"/>
  <c r="XFD1048568" i="2" a="1"/>
  <c r="XFD1048568" i="2" s="1"/>
  <c r="XFD1048567" i="2" a="1"/>
  <c r="XFD1048567" i="2" s="1"/>
  <c r="XFD1048566" i="2" a="1"/>
  <c r="XFD1048566" i="2" s="1"/>
  <c r="XFD1048565" i="2" a="1"/>
  <c r="XFD1048565" i="2" s="1"/>
  <c r="XFD1048564" i="2" a="1"/>
  <c r="XFD1048564" i="2" s="1"/>
  <c r="XFD1048563" i="2" a="1"/>
  <c r="XFD1048563" i="2" s="1"/>
  <c r="XFD1048562" i="2" a="1"/>
  <c r="XFD1048562" i="2" s="1"/>
  <c r="XFD1048561" i="2" a="1"/>
  <c r="XFD1048561" i="2" s="1"/>
  <c r="XFD1048560" i="2" a="1"/>
  <c r="XFD1048560" i="2" s="1"/>
  <c r="XFD1048559" i="2" a="1"/>
  <c r="XFD1048559" i="2" s="1"/>
  <c r="XFD1048558" i="2" a="1"/>
  <c r="XFD1048558" i="2" s="1"/>
  <c r="XFD1048557" i="2" a="1"/>
  <c r="XFD1048557" i="2" s="1"/>
  <c r="XFD1048556" i="2" a="1"/>
  <c r="XFD1048556" i="2" s="1"/>
  <c r="XFD1048555" i="2" a="1"/>
  <c r="XFD1048555" i="2" s="1"/>
  <c r="XFD1048554" i="2" a="1"/>
  <c r="XFD1048554" i="2" s="1"/>
  <c r="XFD1048553" i="2" a="1"/>
  <c r="XFD1048553" i="2" s="1"/>
  <c r="XFD1048552" i="2" a="1"/>
  <c r="XFD1048552" i="2" s="1"/>
  <c r="XFD1048551" i="2" a="1"/>
  <c r="XFD1048551" i="2" s="1"/>
  <c r="XFD1048550" i="2" a="1"/>
  <c r="XFD1048550" i="2" s="1"/>
  <c r="E11" i="2" a="1"/>
  <c r="E18" i="2" a="1"/>
  <c r="E10" i="2" a="1"/>
  <c r="E9" i="2" a="1"/>
  <c r="E16" i="2" a="1"/>
  <c r="E8" i="2" a="1"/>
  <c r="E5" i="2" a="1"/>
  <c r="E4" i="2" a="1"/>
  <c r="E7" i="2" a="1"/>
  <c r="E17" i="2" a="1"/>
  <c r="E15" i="2" a="1"/>
  <c r="E12" i="2" a="1"/>
  <c r="E13" i="2" a="1"/>
  <c r="E14" i="2" a="1"/>
  <c r="E6" i="2" a="1"/>
  <c r="I28" i="3" l="1"/>
  <c r="C28" i="3" s="1"/>
  <c r="I23" i="3"/>
  <c r="C23" i="3" s="1"/>
  <c r="L29" i="3"/>
  <c r="C29" i="3"/>
  <c r="J29" i="3"/>
  <c r="E18" i="2"/>
  <c r="E6" i="2"/>
  <c r="E14" i="2"/>
  <c r="E7" i="2"/>
  <c r="E15" i="2"/>
  <c r="E8" i="2"/>
  <c r="E9" i="2"/>
  <c r="E10" i="2"/>
  <c r="E11" i="2"/>
  <c r="E12" i="2"/>
  <c r="E13" i="2"/>
  <c r="E4" i="2"/>
  <c r="E5" i="2"/>
  <c r="E16" i="2"/>
  <c r="E17" i="2"/>
  <c r="F29" i="3"/>
  <c r="D15" i="3"/>
  <c r="I24" i="3" s="1"/>
  <c r="D24" i="3" a="1"/>
  <c r="D29" i="3" a="1"/>
  <c r="D24" i="3" l="1"/>
  <c r="E24" i="3" s="1"/>
  <c r="C24" i="3"/>
  <c r="G24" i="3" s="1"/>
  <c r="G32" i="3" s="1"/>
  <c r="J24" i="3"/>
  <c r="F24" i="3" s="1"/>
  <c r="D29" i="3"/>
  <c r="E29" i="3" s="1"/>
  <c r="G29" i="3" s="1"/>
  <c r="H29" i="3" l="1"/>
  <c r="D33" i="3" s="1"/>
  <c r="D35" i="3" s="1"/>
  <c r="G33" i="3"/>
  <c r="H24" i="3"/>
  <c r="D32" i="3" s="1"/>
  <c r="D39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<sst xmlns="http://schemas.openxmlformats.org/spreadsheetml/2006/main" count="98" uniqueCount="84">
  <si>
    <t>Valuation Date: December 31,2025</t>
  </si>
  <si>
    <t>BB Ticker</t>
  </si>
  <si>
    <t>Term (yr)</t>
  </si>
  <si>
    <t>OIS Curve</t>
  </si>
  <si>
    <t>NSS fitted yield curve</t>
  </si>
  <si>
    <t>USOSFRC Curncy</t>
  </si>
  <si>
    <t>USOSFRF Curncy</t>
  </si>
  <si>
    <t>USOSFR1 Curncy</t>
  </si>
  <si>
    <t>USOSFR2 Curncy</t>
  </si>
  <si>
    <t>Other market instruments</t>
  </si>
  <si>
    <t>USOSFR3 Curncy</t>
  </si>
  <si>
    <t>USOSFR4 Curncy</t>
  </si>
  <si>
    <t>USOSFR5 Curncy</t>
  </si>
  <si>
    <t>USOSFR6 Curncy</t>
  </si>
  <si>
    <t>USOSFR7 Curncy</t>
  </si>
  <si>
    <t>Inputs</t>
  </si>
  <si>
    <t>Values</t>
  </si>
  <si>
    <t>USOSFR8 Curncy</t>
  </si>
  <si>
    <t>B0</t>
  </si>
  <si>
    <t>USOSFR9 Curncy</t>
  </si>
  <si>
    <t>B1</t>
  </si>
  <si>
    <t>USOSFR10 Curncy</t>
  </si>
  <si>
    <t>B2</t>
  </si>
  <si>
    <t>USOSFR15 Curncy</t>
  </si>
  <si>
    <t>B3</t>
  </si>
  <si>
    <t>USOSFR20 Curncy</t>
  </si>
  <si>
    <t>T1</t>
  </si>
  <si>
    <t>USOSFR30 Curncy</t>
  </si>
  <si>
    <t>T2</t>
  </si>
  <si>
    <t>Date</t>
  </si>
  <si>
    <t>Holiday Name</t>
  </si>
  <si>
    <t>New Year's Day</t>
  </si>
  <si>
    <t>Robert Mugabe National Youth Day</t>
  </si>
  <si>
    <t>Good Friday</t>
  </si>
  <si>
    <t>Easter Saturday</t>
  </si>
  <si>
    <t>Easter Sunday</t>
  </si>
  <si>
    <t>Easter Monday</t>
  </si>
  <si>
    <t>Independence Day</t>
  </si>
  <si>
    <t>Workers' Day</t>
  </si>
  <si>
    <t>Africa Day</t>
  </si>
  <si>
    <t>Heroes' Day</t>
  </si>
  <si>
    <t>Defence Forces Day</t>
  </si>
  <si>
    <t>National Unity Day</t>
  </si>
  <si>
    <t>Christmas Day</t>
  </si>
  <si>
    <t>Boxing Day</t>
  </si>
  <si>
    <t>Counterparty</t>
  </si>
  <si>
    <t>Valuation Date</t>
  </si>
  <si>
    <t>Principal</t>
  </si>
  <si>
    <t>Instrument Type</t>
  </si>
  <si>
    <t>Interest Rate</t>
  </si>
  <si>
    <t>Interest Pmt Fequency</t>
  </si>
  <si>
    <t>Interest Accrued to 31 December 2025</t>
  </si>
  <si>
    <t>Maturity Date</t>
  </si>
  <si>
    <t>Issue Date</t>
  </si>
  <si>
    <t>Next Coupon Payment Date</t>
  </si>
  <si>
    <t xml:space="preserve"> </t>
  </si>
  <si>
    <t>Country risk premium</t>
  </si>
  <si>
    <t>http://pages.stern.nyu.edu/~adamodar/New_Home_Page/datafile/ctryprem.html</t>
  </si>
  <si>
    <t>Collateral</t>
  </si>
  <si>
    <t>Coupon dates</t>
  </si>
  <si>
    <t>Term</t>
  </si>
  <si>
    <t>Interpolated Nelson Seigel-Svenson</t>
  </si>
  <si>
    <t>Discount rate</t>
  </si>
  <si>
    <t>CF</t>
  </si>
  <si>
    <t>PVIF</t>
  </si>
  <si>
    <t>PV</t>
  </si>
  <si>
    <t>Coupon Dates</t>
  </si>
  <si>
    <t>Interest</t>
  </si>
  <si>
    <t>Accrued Interest Paid</t>
  </si>
  <si>
    <t>Accrued Interest Balance</t>
  </si>
  <si>
    <t>Balance</t>
  </si>
  <si>
    <t>Present Value</t>
  </si>
  <si>
    <t>Carrying Value</t>
  </si>
  <si>
    <t>Impairment</t>
  </si>
  <si>
    <t>USD</t>
  </si>
  <si>
    <t>Fair value</t>
  </si>
  <si>
    <t>Carrying value</t>
  </si>
  <si>
    <t>Interest Payment Dates</t>
  </si>
  <si>
    <t>RBZ</t>
  </si>
  <si>
    <t>Treasury Bill</t>
  </si>
  <si>
    <t>Bullet</t>
  </si>
  <si>
    <t>Specific Risk</t>
  </si>
  <si>
    <t>Time Value</t>
  </si>
  <si>
    <t>Zimbabwe Default Risk 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</si>
</sst>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-* #,##0.00_-;\-* #,##0.00_-;_-* &quot;-&quot;??_-;_-@_-"/>
  </numFmts>
  <fonts count="1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2"/>
      <color theme="10"/>
      <name val="Aptos Narrow"/>
      <family val="2"/>
      <scheme val="minor"/>
    </font>
    <font>
      <sz val="11"/>
      <color theme="1"/>
      <name val="Century Gothic"/>
      <family val="2"/>
    </font>
    <font>
      <sz val="11"/>
      <name val="Century Gothic"/>
      <family val="2"/>
    </font>
    <font>
      <b/>
      <sz val="11"/>
      <color theme="1"/>
      <name val="Century Gothic"/>
      <family val="2"/>
    </font>
    <font>
      <sz val="11"/>
      <color theme="1"/>
      <name val="Aptos Narrow"/>
      <family val="2"/>
      <scheme val="minor"/>
    </font>
    <font>
      <b/>
      <sz val="11"/>
      <color rgb="FFFF0000"/>
      <name val="Century Gothic"/>
      <family val="2"/>
    </font>
    <font>
      <u/>
      <sz val="11"/>
      <color theme="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</cellStyleXfs>
  <cellXfs count="66">
    <xf numFmtId="0" fontId="0" fillId="0" borderId="0" xfId="0"/>
    <xf numFmtId="0" fontId="2" fillId="0" borderId="1" xfId="0" applyFont="1" applyBorder="1"/>
    <xf numFmtId="0" fontId="0" fillId="0" borderId="1" xfId="0" applyBorder="1"/>
    <xf numFmtId="0" fontId="3" fillId="0" borderId="1" xfId="0" applyFont="1" applyBorder="1"/>
    <xf numFmtId="10" fontId="0" fillId="0" borderId="1" xfId="2" applyNumberFormat="1" applyFont="1" applyBorder="1"/>
    <xf numFmtId="0" fontId="4" fillId="0" borderId="1" xfId="0" applyFont="1" applyBorder="1"/>
    <xf numFmtId="0" fontId="5" fillId="0" borderId="1" xfId="0" applyFont="1" applyBorder="1"/>
    <xf numFmtId="0" fontId="0" fillId="0" borderId="2" xfId="0" applyBorder="1"/>
    <xf numFmtId="2" fontId="6" fillId="2" borderId="2" xfId="0" applyNumberFormat="1" applyFont="1" applyFill="1" applyBorder="1"/>
    <xf numFmtId="0" fontId="0" fillId="0" borderId="3" xfId="0" applyBorder="1"/>
    <xf numFmtId="2" fontId="6" fillId="2" borderId="3" xfId="0" applyNumberFormat="1" applyFont="1" applyFill="1" applyBorder="1"/>
    <xf numFmtId="0" fontId="2" fillId="0" borderId="4" xfId="0" applyFont="1" applyBorder="1"/>
    <xf numFmtId="14" fontId="0" fillId="0" borderId="4" xfId="0" applyNumberFormat="1" applyBorder="1"/>
    <xf numFmtId="0" fontId="0" fillId="0" borderId="4" xfId="0" applyBorder="1"/>
    <xf numFmtId="14" fontId="0" fillId="2" borderId="4" xfId="0" applyNumberFormat="1" applyFill="1" applyBorder="1"/>
    <xf numFmtId="0" fontId="0" fillId="2" borderId="4" xfId="0" applyFill="1" applyBorder="1"/>
    <xf numFmtId="0" fontId="8" fillId="0" borderId="0" xfId="0" applyFont="1"/>
    <xf numFmtId="0" fontId="8" fillId="0" borderId="5" xfId="0" applyFont="1" applyBorder="1"/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8" fillId="0" borderId="1" xfId="0" applyFont="1" applyBorder="1" applyAlignment="1">
      <alignment horizontal="left"/>
    </xf>
    <xf numFmtId="0" fontId="9" fillId="0" borderId="1" xfId="0" applyFont="1" applyBorder="1" applyAlignment="1">
      <alignment horizontal="right" vertical="top"/>
    </xf>
    <xf numFmtId="0" fontId="10" fillId="0" borderId="0" xfId="0" applyFont="1"/>
    <xf numFmtId="0" fontId="8" fillId="0" borderId="9" xfId="0" applyFont="1" applyBorder="1"/>
    <xf numFmtId="15" fontId="9" fillId="0" borderId="1" xfId="0" applyNumberFormat="1" applyFont="1" applyBorder="1" applyAlignment="1">
      <alignment horizontal="right" vertical="top"/>
    </xf>
    <xf numFmtId="4" fontId="9" fillId="0" borderId="1" xfId="0" applyNumberFormat="1" applyFont="1" applyBorder="1" applyAlignment="1">
      <alignment horizontal="right" vertical="top"/>
    </xf>
    <xf numFmtId="10" fontId="9" fillId="0" borderId="1" xfId="0" applyNumberFormat="1" applyFont="1" applyBorder="1" applyAlignment="1">
      <alignment horizontal="right" vertical="top"/>
    </xf>
    <xf numFmtId="4" fontId="8" fillId="0" borderId="0" xfId="0" applyNumberFormat="1" applyFont="1"/>
    <xf numFmtId="9" fontId="9" fillId="0" borderId="1" xfId="0" applyNumberFormat="1" applyFont="1" applyBorder="1" applyAlignment="1">
      <alignment horizontal="right" vertical="top"/>
    </xf>
    <xf numFmtId="2" fontId="8" fillId="0" borderId="0" xfId="0" applyNumberFormat="1" applyFont="1"/>
    <xf numFmtId="14" fontId="8" fillId="0" borderId="0" xfId="0" applyNumberFormat="1" applyFont="1"/>
    <xf numFmtId="164" fontId="9" fillId="0" borderId="1" xfId="4" applyNumberFormat="1" applyFont="1" applyFill="1" applyBorder="1" applyAlignment="1">
      <alignment horizontal="right"/>
    </xf>
    <xf numFmtId="43" fontId="8" fillId="0" borderId="0" xfId="1" applyFont="1" applyFill="1" applyBorder="1"/>
    <xf numFmtId="164" fontId="8" fillId="0" borderId="0" xfId="0" applyNumberFormat="1" applyFont="1"/>
    <xf numFmtId="43" fontId="8" fillId="0" borderId="0" xfId="4" applyFont="1" applyFill="1" applyBorder="1"/>
    <xf numFmtId="165" fontId="10" fillId="0" borderId="0" xfId="0" applyNumberFormat="1" applyFont="1"/>
    <xf numFmtId="15" fontId="8" fillId="0" borderId="0" xfId="0" applyNumberFormat="1" applyFont="1"/>
    <xf numFmtId="15" fontId="8" fillId="0" borderId="0" xfId="4" applyNumberFormat="1" applyFont="1" applyFill="1" applyBorder="1"/>
    <xf numFmtId="15" fontId="7" fillId="0" borderId="0" xfId="3" applyNumberFormat="1"/>
    <xf numFmtId="0" fontId="10" fillId="0" borderId="1" xfId="0" applyFont="1" applyBorder="1" applyAlignment="1">
      <alignment horizontal="left"/>
    </xf>
    <xf numFmtId="15" fontId="10" fillId="0" borderId="1" xfId="0" applyNumberFormat="1" applyFont="1" applyBorder="1" applyAlignment="1">
      <alignment horizontal="left"/>
    </xf>
    <xf numFmtId="43" fontId="10" fillId="0" borderId="1" xfId="4" applyFont="1" applyFill="1" applyBorder="1" applyAlignment="1">
      <alignment horizontal="left"/>
    </xf>
    <xf numFmtId="43" fontId="8" fillId="0" borderId="1" xfId="4" applyFont="1" applyFill="1" applyBorder="1"/>
    <xf numFmtId="0" fontId="8" fillId="0" borderId="1" xfId="0" applyFont="1" applyBorder="1"/>
    <xf numFmtId="44" fontId="8" fillId="0" borderId="1" xfId="5" applyFont="1" applyFill="1" applyBorder="1"/>
    <xf numFmtId="15" fontId="8" fillId="0" borderId="1" xfId="0" applyNumberFormat="1" applyFont="1" applyBorder="1"/>
    <xf numFmtId="10" fontId="8" fillId="0" borderId="1" xfId="2" applyNumberFormat="1" applyFont="1" applyFill="1" applyBorder="1"/>
    <xf numFmtId="2" fontId="8" fillId="0" borderId="0" xfId="5" applyNumberFormat="1" applyFont="1" applyFill="1" applyBorder="1"/>
    <xf numFmtId="44" fontId="8" fillId="0" borderId="0" xfId="5" applyFont="1" applyFill="1" applyBorder="1"/>
    <xf numFmtId="44" fontId="8" fillId="0" borderId="1" xfId="0" applyNumberFormat="1" applyFont="1" applyBorder="1"/>
    <xf numFmtId="44" fontId="8" fillId="0" borderId="0" xfId="0" applyNumberFormat="1" applyFont="1"/>
    <xf numFmtId="44" fontId="10" fillId="0" borderId="0" xfId="0" applyNumberFormat="1" applyFont="1"/>
    <xf numFmtId="0" fontId="12" fillId="0" borderId="0" xfId="0" applyFont="1"/>
    <xf numFmtId="0" fontId="10" fillId="0" borderId="1" xfId="0" applyFont="1" applyBorder="1" applyAlignment="1">
      <alignment horizontal="right"/>
    </xf>
    <xf numFmtId="165" fontId="8" fillId="0" borderId="0" xfId="0" applyNumberFormat="1" applyFont="1"/>
    <xf numFmtId="15" fontId="8" fillId="0" borderId="1" xfId="0" applyNumberFormat="1" applyFont="1" applyBorder="1" applyAlignment="1">
      <alignment horizontal="left"/>
    </xf>
    <xf numFmtId="0" fontId="13" fillId="0" borderId="0" xfId="0" applyFont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left"/>
    </xf>
    <xf numFmtId="4" fontId="9" fillId="0" borderId="0" xfId="0" applyNumberFormat="1" applyFont="1" applyAlignment="1">
      <alignment horizontal="right" vertical="top"/>
    </xf>
    <xf numFmtId="10" fontId="8" fillId="0" borderId="0" xfId="0" applyNumberFormat="1" applyFont="1"/>
    <xf numFmtId="10" fontId="8" fillId="0" borderId="0" xfId="4" applyNumberFormat="1" applyFont="1" applyFill="1" applyBorder="1"/>
    <xf numFmtId="0" fontId="2" fillId="0" borderId="1" xfId="0" applyFont="1" applyBorder="1" applyAlignment="1">
      <alignment horizontal="center"/>
    </xf>
  </cellXfs>
  <cellStyles count="6">
    <cellStyle name="Comma" xfId="1" builtinId="3"/>
    <cellStyle name="Comma 2" xfId="4" xr:uid="{7065BB4D-4807-5041-AD8A-9BCC99E86431}"/>
    <cellStyle name="Currency 2" xfId="5" xr:uid="{25218804-B6C2-7F4A-862E-FF6B6C0829E4}"/>
    <cellStyle name="Hyperlink" xfId="3" builtinId="8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Nelson</a:t>
            </a:r>
            <a:r>
              <a:rPr lang="en-US" baseline="0"/>
              <a:t> Siegel  Svensson Model Fitted Yield Curve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'Market Inputs '!$D$3</c:f>
              <c:strCache>
                <c:ptCount val="1"/>
                <c:pt idx="0">
                  <c:v>OIS Curve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'Market Inputs '!$C$4:$C$18</c:f>
              <c:numCache>
                <c:formatCode>General</c:formatCode>
                <c:ptCount val="15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15</c:v>
                </c:pt>
                <c:pt idx="13">
                  <c:v>20</c:v>
                </c:pt>
                <c:pt idx="14">
                  <c:v>30</c:v>
                </c:pt>
              </c:numCache>
            </c:numRef>
          </c:xVal>
          <c:yVal>
            <c:numRef>
              <c:f>'Market Inputs '!$D$4:$D$18</c:f>
              <c:numCache>
                <c:formatCode>General</c:formatCode>
                <c:ptCount val="15"/>
                <c:pt idx="0">
                  <c:v>3.6516999999999999</c:v>
                </c:pt>
                <c:pt idx="1">
                  <c:v>3.5796199999999998</c:v>
                </c:pt>
                <c:pt idx="2">
                  <c:v>3.427</c:v>
                </c:pt>
                <c:pt idx="3">
                  <c:v>3.3116300000000001</c:v>
                </c:pt>
                <c:pt idx="4">
                  <c:v>3.3380899999999998</c:v>
                </c:pt>
                <c:pt idx="5">
                  <c:v>3.39567</c:v>
                </c:pt>
                <c:pt idx="6">
                  <c:v>3.4637500000000001</c:v>
                </c:pt>
                <c:pt idx="7">
                  <c:v>3.5354999999999999</c:v>
                </c:pt>
                <c:pt idx="8">
                  <c:v>3.6067499999999999</c:v>
                </c:pt>
                <c:pt idx="9">
                  <c:v>3.6735000000000002</c:v>
                </c:pt>
                <c:pt idx="10">
                  <c:v>3.7388400000000002</c:v>
                </c:pt>
                <c:pt idx="11">
                  <c:v>3.8022900000000002</c:v>
                </c:pt>
                <c:pt idx="12">
                  <c:v>4.0537799999999997</c:v>
                </c:pt>
                <c:pt idx="13">
                  <c:v>4.17</c:v>
                </c:pt>
                <c:pt idx="14">
                  <c:v>4.1675000000000004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0-C241-A987-57D47F2F1CD7}"/>
            </c:ext>
          </c:extLst>
        </c:ser>
        <c:ser>
          <c:idx val="1"/>
          <c:order val="1"/>
          <c:tx>
            <c:strRef>
              <c:f>'Market Inputs '!$E$3</c:f>
              <c:strCache>
                <c:ptCount val="1"/>
                <c:pt idx="0">
                  <c:v>NSS fitted yield curve</c:v>
                </c:pt>
              </c:strCache>
            </c:strRef>
          </c:tx>
          <c:spPr>
            <a:ln w="19050" cap="rnd">
              <a:solidFill>
                <a:srgbClr val="0BACC8"/>
              </a:solidFill>
              <a:round/>
            </a:ln>
            <a:effectLst>
              <a:outerShdw blurRad="50800" dist="50800" dir="5400000" algn="ctr" rotWithShape="0">
                <a:srgbClr val="FFFFFF"/>
              </a:outerShdw>
            </a:effectLst>
          </c:spPr>
          <c:marker>
            <c:symbol val="circle"/>
            <c:size val="5"/>
            <c:spPr>
              <a:solidFill>
                <a:srgbClr val="0BACC8"/>
              </a:solidFill>
              <a:ln w="9525">
                <a:solidFill>
                  <a:srgbClr val="0BACC8"/>
                </a:solidFill>
              </a:ln>
              <a:effectLst>
                <a:outerShdw blurRad="50800" dist="50800" dir="5400000" algn="ctr" rotWithShape="0">
                  <a:srgbClr val="FFFFFF"/>
                </a:outerShdw>
              </a:effectLst>
            </c:spPr>
          </c:marker>
          <c:xVal>
            <c:numRef>
              <c:f>'Market Inputs '!$C$4:$C$18</c:f>
              <c:numCache>
                <c:formatCode>General</c:formatCode>
                <c:ptCount val="15"/>
                <c:pt idx="0">
                  <c:v>0.25</c:v>
                </c:pt>
                <c:pt idx="1">
                  <c:v>0.5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15</c:v>
                </c:pt>
                <c:pt idx="13">
                  <c:v>20</c:v>
                </c:pt>
                <c:pt idx="14">
                  <c:v>30</c:v>
                </c:pt>
              </c:numCache>
            </c:numRef>
          </c:xVal>
          <c:yVal>
            <c:numRef>
              <c:f>'Market Inputs '!$E$4:$E$18</c:f>
              <c:numCache>
                <c:formatCode>General</c:formatCode>
                <c:ptCount val="15"/>
                <c:pt idx="0">
                  <c:v>3.6600348329290342</c:v>
                </c:pt>
                <c:pt idx="1">
                  <c:v>3.5635923102661118</c:v>
                </c:pt>
                <c:pt idx="2">
                  <c:v>3.4328002990900872</c:v>
                </c:pt>
                <c:pt idx="3">
                  <c:v>3.3256874701441932</c:v>
                </c:pt>
                <c:pt idx="4">
                  <c:v>3.3282072178710753</c:v>
                </c:pt>
                <c:pt idx="5">
                  <c:v>3.3819402567019026</c:v>
                </c:pt>
                <c:pt idx="6">
                  <c:v>3.4572537554702909</c:v>
                </c:pt>
                <c:pt idx="7">
                  <c:v>3.5383874223582739</c:v>
                </c:pt>
                <c:pt idx="8">
                  <c:v>3.6172141981465868</c:v>
                </c:pt>
                <c:pt idx="9">
                  <c:v>3.6899398740132936</c:v>
                </c:pt>
                <c:pt idx="10">
                  <c:v>3.7551796025956659</c:v>
                </c:pt>
                <c:pt idx="11">
                  <c:v>3.8128225269708738</c:v>
                </c:pt>
                <c:pt idx="12">
                  <c:v>4.0101698968907096</c:v>
                </c:pt>
                <c:pt idx="13">
                  <c:v>4.1170760859184137</c:v>
                </c:pt>
                <c:pt idx="14">
                  <c:v>4.2252659980468223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0-C241-A987-57D47F2F1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95039"/>
        <c:axId val="1788896479"/>
      </c:scatterChart>
      <c:valAx>
        <c:axId val="1788895039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Ter</a:t>
                </a:r>
                <a:r>
                  <a:rPr lang="en-GB" baseline="0"/>
                  <a:t>m (years)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896479"/>
        <c:crosses val="autoZero"/>
        <c:crossBetween val="midCat"/>
      </c:valAx>
      <c:valAx>
        <c:axId val="1788896479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Interest</a:t>
                </a:r>
                <a:r>
                  <a:rPr lang="en-GB" baseline="0"/>
                  <a:t> Rate (%)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8950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136071</xdr:colOff>
      <xdr:row>2</xdr:row>
      <xdr:rowOff>52893</xdr:rowOff>
    </xdr:from>
    <xdr:to>
      <xdr:col>15</xdr:col>
      <xdr:colOff>258161</xdr:colOff>
      <xdr:row>19</xdr:row>
      <xdr:rowOff>68035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437D92-712A-614F-8FC1-34F578D735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1050758</xdr:colOff>
      <xdr:row>3</xdr:row>
      <xdr:rowOff>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EB4BAF1-899A-4D43-9A0B-4CC7B31FDC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500" y="0"/>
          <a:ext cx="1749258" cy="5334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667926</xdr:colOff>
      <xdr:row>50</xdr:row>
      <xdr:rowOff>18814</xdr:rowOff>
    </xdr:from>
    <xdr:to>
      <xdr:col>5</xdr:col>
      <xdr:colOff>987777</xdr:colOff>
      <xdr:row>59</xdr:row>
      <xdr:rowOff>9407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4E6BCB1-ABB8-B84B-AFE9-AF3C1F9D6183}"/>
            </a:ext>
          </a:extLst>
        </xdr:cNvPr>
        <xdr:cNvSpPr txBox="1"/>
      </xdr:nvSpPr>
      <xdr:spPr>
        <a:xfrm>
          <a:off x="667926" y="8299214"/>
          <a:ext cx="7977951" cy="1590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0</xdr:col>
      <xdr:colOff>536223</xdr:colOff>
      <xdr:row>50</xdr:row>
      <xdr:rowOff>9408</xdr:rowOff>
    </xdr:from>
    <xdr:to>
      <xdr:col>5</xdr:col>
      <xdr:colOff>384293</xdr:colOff>
      <xdr:row>59</xdr:row>
      <xdr:rowOff>39042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B05F4D7-79E5-88FB-773D-985E456A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6223" y="7911630"/>
          <a:ext cx="7505700" cy="1638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uracapital123.sharepoint.com/sites/DuraCapital/Shared%20Documents/Projects/Deloitte-Axcentium/Old%20Mutual%20Securities%20Dec%202025/Corporate%20bonds/with%20NSS%20Formula%20Corporate%20bonds%20worksheet.xlsm" TargetMode="External"/><Relationship Id="rId1" Type="http://schemas.openxmlformats.org/officeDocument/2006/relationships/externalLinkPath" Target="https://duracapital123.sharepoint.com/sites/DuraCapital/Shared%20Documents/Projects/Deloitte-Axcentium/Old%20Mutual%20Securities%20Dec%202025/Corporate%20bonds/with%20NSS%20Formula%20Corporate%20bonds%20work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Inputs "/>
      <sheetName val="Valuation Summary"/>
      <sheetName val="Richaw $5m"/>
      <sheetName val="Richaw $205k"/>
      <sheetName val="Centragrid"/>
      <sheetName val="GZH"/>
      <sheetName val="Nhimbe"/>
      <sheetName val="Solgas $5m"/>
      <sheetName val="Solgas $518k"/>
      <sheetName val="Glytime "/>
      <sheetName val="Zimcampus"/>
    </sheetNames>
    <sheetDataSet>
      <sheetData sheetId="0">
        <row r="23">
          <cell r="B23">
            <v>46023</v>
          </cell>
        </row>
        <row r="24">
          <cell r="B24">
            <v>46074</v>
          </cell>
        </row>
        <row r="25">
          <cell r="B25">
            <v>46115</v>
          </cell>
        </row>
        <row r="26">
          <cell r="B26">
            <v>46116</v>
          </cell>
        </row>
        <row r="27">
          <cell r="B27">
            <v>46117</v>
          </cell>
        </row>
        <row r="28">
          <cell r="B28">
            <v>46118</v>
          </cell>
        </row>
        <row r="29">
          <cell r="B29">
            <v>46130</v>
          </cell>
        </row>
        <row r="30">
          <cell r="B30">
            <v>46143</v>
          </cell>
        </row>
        <row r="31">
          <cell r="B31">
            <v>46167</v>
          </cell>
        </row>
        <row r="32">
          <cell r="B32">
            <v>46245</v>
          </cell>
        </row>
        <row r="33">
          <cell r="B33">
            <v>46246</v>
          </cell>
        </row>
        <row r="34">
          <cell r="B34">
            <v>46378</v>
          </cell>
        </row>
        <row r="35">
          <cell r="B35">
            <v>46381</v>
          </cell>
        </row>
        <row r="36">
          <cell r="B36">
            <v>46382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pages.stern.nyu.edu/~adamodar/New_Home_Page/datafile/ctrypre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718B2-2B28-8847-91CD-9E2B482ED945}">
  <sheetPr codeName="Sheet1"/>
  <dimension ref="B2:XFD1048575"/>
  <sheetViews>
    <sheetView showGridLines="0" zoomScale="86" zoomScaleNormal="130" workbookViewId="0">
      <selection activeCell="G2" sqref="G2:H3"/>
    </sheetView>
  </sheetViews>
  <sheetFormatPr baseColWidth="10" defaultColWidth="11.1640625" defaultRowHeight="16" x14ac:dyDescent="0.2"/>
  <cols>
    <col min="2" max="2" width="16.1640625" bestFit="1" customWidth="1"/>
    <col min="3" max="3" width="29.6640625" bestFit="1" customWidth="1"/>
    <col min="4" max="4" width="12.1640625" bestFit="1" customWidth="1"/>
    <col min="5" max="5" width="11.1640625" bestFit="1" customWidth="1"/>
    <col min="6" max="6" width="11.6640625" bestFit="1" customWidth="1"/>
    <col min="7" max="7" width="29" bestFit="1" customWidth="1"/>
    <col min="8" max="8" width="11.1640625" bestFit="1" customWidth="1"/>
  </cols>
  <sheetData>
    <row r="2" spans="2:8" x14ac:dyDescent="0.2">
      <c r="B2" s="65" t="s">
        <v>0</v>
      </c>
      <c r="C2" s="65"/>
      <c r="D2" s="65"/>
      <c r="E2" s="65"/>
      <c r="G2" s="65" t="s">
        <v>9</v>
      </c>
      <c r="H2" s="65"/>
    </row>
    <row r="3" spans="2:8" x14ac:dyDescent="0.2">
      <c r="B3" s="1" t="s">
        <v>1</v>
      </c>
      <c r="C3" s="1" t="s">
        <v>2</v>
      </c>
      <c r="D3" s="1" t="s">
        <v>3</v>
      </c>
      <c r="E3" s="1" t="s">
        <v>4</v>
      </c>
      <c r="G3" s="1" t="s">
        <v>83</v>
      </c>
      <c r="H3" s="4">
        <v>7.6499999999999999E-2</v>
      </c>
    </row>
    <row r="4" spans="2:8" x14ac:dyDescent="0.2">
      <c r="B4" s="1" t="s">
        <v>5</v>
      </c>
      <c r="C4" s="2">
        <v>0.25</v>
      </c>
      <c r="D4" s="3">
        <v>3.6516999999999999</v>
      </c>
      <c r="E4" s="2" cm="1">
        <f t="array" ref="E4">nelson(C4,$H$7,$H$8,$H$9,$H$10,$H$11,$H$12)</f>
        <v>3.6600348329290342</v>
      </c>
    </row>
    <row r="5" spans="2:8" x14ac:dyDescent="0.2">
      <c r="B5" s="1" t="s">
        <v>6</v>
      </c>
      <c r="C5" s="2">
        <v>0.5</v>
      </c>
      <c r="D5" s="3">
        <v>3.5796199999999998</v>
      </c>
      <c r="E5" s="2" cm="1">
        <f t="array" ref="E5">nelson(C5,$H$7,$H$8,$H$9,$H$10,$H$11,$H$12)</f>
        <v>3.5635923102661118</v>
      </c>
    </row>
    <row r="6" spans="2:8" x14ac:dyDescent="0.2">
      <c r="B6" s="1" t="s">
        <v>7</v>
      </c>
      <c r="C6" s="2">
        <v>1</v>
      </c>
      <c r="D6" s="3">
        <v>3.427</v>
      </c>
      <c r="E6" s="2" cm="1">
        <f t="array" ref="E6">nelson(C6,$H$7,$H$8,$H$9,$H$10,$H$11,$H$12)</f>
        <v>3.4328002990900872</v>
      </c>
      <c r="G6" s="5" t="s">
        <v>15</v>
      </c>
      <c r="H6" s="6" t="s">
        <v>16</v>
      </c>
    </row>
    <row r="7" spans="2:8" x14ac:dyDescent="0.2">
      <c r="B7" s="1" t="s">
        <v>8</v>
      </c>
      <c r="C7" s="2">
        <v>2</v>
      </c>
      <c r="D7" s="3">
        <v>3.3116300000000001</v>
      </c>
      <c r="E7" s="2" cm="1">
        <f t="array" ref="E7">nelson(C7,$H$7,$H$8,$H$9,$H$10,$H$11,$H$12)</f>
        <v>3.3256874701441932</v>
      </c>
      <c r="G7" s="7" t="s">
        <v>18</v>
      </c>
      <c r="H7" s="8">
        <v>4.4418688884852804</v>
      </c>
    </row>
    <row r="8" spans="2:8" x14ac:dyDescent="0.2">
      <c r="B8" s="1" t="s">
        <v>10</v>
      </c>
      <c r="C8" s="2">
        <v>3</v>
      </c>
      <c r="D8" s="3">
        <v>3.3380899999999998</v>
      </c>
      <c r="E8" s="2" cm="1">
        <f t="array" ref="E8">nelson(C8,$H$7,$H$8,$H$9,$H$10,$H$11,$H$12)</f>
        <v>3.3282072178710753</v>
      </c>
      <c r="G8" s="7" t="s">
        <v>20</v>
      </c>
      <c r="H8" s="8">
        <v>-0.65721138408840596</v>
      </c>
    </row>
    <row r="9" spans="2:8" x14ac:dyDescent="0.2">
      <c r="B9" s="1" t="s">
        <v>11</v>
      </c>
      <c r="C9" s="2">
        <v>4</v>
      </c>
      <c r="D9" s="3">
        <v>3.39567</v>
      </c>
      <c r="E9" s="2" cm="1">
        <f t="array" ref="E9">nelson(C9,$H$7,$H$8,$H$9,$H$10,$H$11,$H$12)</f>
        <v>3.3819402567019026</v>
      </c>
      <c r="G9" s="7" t="s">
        <v>22</v>
      </c>
      <c r="H9" s="8">
        <v>-0.37630950147713998</v>
      </c>
    </row>
    <row r="10" spans="2:8" x14ac:dyDescent="0.2">
      <c r="B10" s="1" t="s">
        <v>12</v>
      </c>
      <c r="C10" s="2">
        <v>5</v>
      </c>
      <c r="D10" s="3">
        <v>3.4637500000000001</v>
      </c>
      <c r="E10" s="2" cm="1">
        <f t="array" ref="E10">nelson(C10,$H$7,$H$8,$H$9,$H$10,$H$11,$H$12)</f>
        <v>3.4572537554702909</v>
      </c>
      <c r="G10" s="7" t="s">
        <v>24</v>
      </c>
      <c r="H10" s="8">
        <v>-2.94594557232341</v>
      </c>
    </row>
    <row r="11" spans="2:8" x14ac:dyDescent="0.2">
      <c r="B11" s="1" t="s">
        <v>13</v>
      </c>
      <c r="C11" s="2">
        <v>6</v>
      </c>
      <c r="D11" s="3">
        <v>3.5354999999999999</v>
      </c>
      <c r="E11" s="2" cm="1">
        <f t="array" ref="E11">nelson(C11,$H$7,$H$8,$H$9,$H$10,$H$11,$H$12)</f>
        <v>3.5383874223582739</v>
      </c>
      <c r="G11" s="7" t="s">
        <v>26</v>
      </c>
      <c r="H11" s="8">
        <v>0.73423681043413802</v>
      </c>
    </row>
    <row r="12" spans="2:8" x14ac:dyDescent="0.2">
      <c r="B12" s="1" t="s">
        <v>14</v>
      </c>
      <c r="C12" s="2">
        <v>7</v>
      </c>
      <c r="D12" s="3">
        <v>3.6067499999999999</v>
      </c>
      <c r="E12" s="2" cm="1">
        <f t="array" ref="E12">nelson(C12,$H$7,$H$8,$H$9,$H$10,$H$11,$H$12)</f>
        <v>3.6172141981465868</v>
      </c>
      <c r="G12" s="9" t="s">
        <v>28</v>
      </c>
      <c r="H12" s="10">
        <v>1.9481883875975501</v>
      </c>
    </row>
    <row r="13" spans="2:8" x14ac:dyDescent="0.2">
      <c r="B13" s="1" t="s">
        <v>17</v>
      </c>
      <c r="C13" s="2">
        <v>8</v>
      </c>
      <c r="D13" s="3">
        <v>3.6735000000000002</v>
      </c>
      <c r="E13" s="2" cm="1">
        <f t="array" ref="E13">nelson(C13,$H$7,$H$8,$H$9,$H$10,$H$11,$H$12)</f>
        <v>3.6899398740132936</v>
      </c>
    </row>
    <row r="14" spans="2:8" x14ac:dyDescent="0.2">
      <c r="B14" s="1" t="s">
        <v>19</v>
      </c>
      <c r="C14" s="2">
        <v>9</v>
      </c>
      <c r="D14" s="3">
        <v>3.7388400000000002</v>
      </c>
      <c r="E14" s="2" cm="1">
        <f t="array" ref="E14">nelson(C14,$H$7,$H$8,$H$9,$H$10,$H$11,$H$12)</f>
        <v>3.7551796025956659</v>
      </c>
    </row>
    <row r="15" spans="2:8" x14ac:dyDescent="0.2">
      <c r="B15" s="1" t="s">
        <v>21</v>
      </c>
      <c r="C15" s="2">
        <v>10</v>
      </c>
      <c r="D15" s="3">
        <v>3.8022900000000002</v>
      </c>
      <c r="E15" s="2" cm="1">
        <f t="array" ref="E15">nelson(C15,$H$7,$H$8,$H$9,$H$10,$H$11,$H$12)</f>
        <v>3.8128225269708738</v>
      </c>
    </row>
    <row r="16" spans="2:8" x14ac:dyDescent="0.2">
      <c r="B16" s="1" t="s">
        <v>23</v>
      </c>
      <c r="C16" s="2">
        <v>15</v>
      </c>
      <c r="D16" s="3">
        <v>4.0537799999999997</v>
      </c>
      <c r="E16" s="2" cm="1">
        <f t="array" ref="E16">nelson(C16,$H$7,$H$8,$H$9,$H$10,$H$11,$H$12)</f>
        <v>4.0101698968907096</v>
      </c>
    </row>
    <row r="17" spans="2:5" x14ac:dyDescent="0.2">
      <c r="B17" s="1" t="s">
        <v>25</v>
      </c>
      <c r="C17" s="2">
        <v>20</v>
      </c>
      <c r="D17" s="3">
        <v>4.17</v>
      </c>
      <c r="E17" s="2" cm="1">
        <f t="array" ref="E17">nelson(C17,$H$7,$H$8,$H$9,$H$10,$H$11,$H$12)</f>
        <v>4.1170760859184137</v>
      </c>
    </row>
    <row r="18" spans="2:5" x14ac:dyDescent="0.2">
      <c r="B18" s="1" t="s">
        <v>27</v>
      </c>
      <c r="C18" s="2">
        <v>30</v>
      </c>
      <c r="D18" s="3">
        <v>4.1675000000000004</v>
      </c>
      <c r="E18" s="2" cm="1">
        <f t="array" ref="E18">nelson(C18,$H$7,$H$8,$H$9,$H$10,$H$11,$H$12)</f>
        <v>4.2252659980468223</v>
      </c>
    </row>
    <row r="22" spans="2:5" x14ac:dyDescent="0.2">
      <c r="B22" s="11" t="s">
        <v>29</v>
      </c>
      <c r="C22" s="11" t="s">
        <v>30</v>
      </c>
    </row>
    <row r="23" spans="2:5" x14ac:dyDescent="0.2">
      <c r="B23" s="12">
        <v>46023</v>
      </c>
      <c r="C23" s="13" t="s">
        <v>31</v>
      </c>
    </row>
    <row r="24" spans="2:5" x14ac:dyDescent="0.2">
      <c r="B24" s="12">
        <v>46074</v>
      </c>
      <c r="C24" s="13" t="s">
        <v>32</v>
      </c>
    </row>
    <row r="25" spans="2:5" x14ac:dyDescent="0.2">
      <c r="B25" s="14">
        <v>46115</v>
      </c>
      <c r="C25" s="15" t="s">
        <v>33</v>
      </c>
    </row>
    <row r="26" spans="2:5" x14ac:dyDescent="0.2">
      <c r="B26" s="14">
        <v>46116</v>
      </c>
      <c r="C26" s="15" t="s">
        <v>34</v>
      </c>
    </row>
    <row r="27" spans="2:5" x14ac:dyDescent="0.2">
      <c r="B27" s="14">
        <v>46117</v>
      </c>
      <c r="C27" s="15" t="s">
        <v>35</v>
      </c>
    </row>
    <row r="28" spans="2:5" x14ac:dyDescent="0.2">
      <c r="B28" s="14">
        <v>46118</v>
      </c>
      <c r="C28" s="15" t="s">
        <v>36</v>
      </c>
    </row>
    <row r="29" spans="2:5" x14ac:dyDescent="0.2">
      <c r="B29" s="12">
        <v>46130</v>
      </c>
      <c r="C29" s="13" t="s">
        <v>37</v>
      </c>
    </row>
    <row r="30" spans="2:5" x14ac:dyDescent="0.2">
      <c r="B30" s="12">
        <v>46143</v>
      </c>
      <c r="C30" s="13" t="s">
        <v>38</v>
      </c>
    </row>
    <row r="31" spans="2:5" x14ac:dyDescent="0.2">
      <c r="B31" s="12">
        <v>46167</v>
      </c>
      <c r="C31" s="13" t="s">
        <v>39</v>
      </c>
    </row>
    <row r="32" spans="2:5" x14ac:dyDescent="0.2">
      <c r="B32" s="12">
        <v>46245</v>
      </c>
      <c r="C32" s="13" t="s">
        <v>40</v>
      </c>
    </row>
    <row r="33" spans="2:3" x14ac:dyDescent="0.2">
      <c r="B33" s="12">
        <v>46246</v>
      </c>
      <c r="C33" s="13" t="s">
        <v>41</v>
      </c>
    </row>
    <row r="34" spans="2:3" x14ac:dyDescent="0.2">
      <c r="B34" s="12">
        <v>46378</v>
      </c>
      <c r="C34" s="13" t="s">
        <v>42</v>
      </c>
    </row>
    <row r="35" spans="2:3" x14ac:dyDescent="0.2">
      <c r="B35" s="12">
        <v>46381</v>
      </c>
      <c r="C35" s="13" t="s">
        <v>43</v>
      </c>
    </row>
    <row r="36" spans="2:3" x14ac:dyDescent="0.2">
      <c r="B36" s="12">
        <v>46382</v>
      </c>
      <c r="C36" s="13" t="s">
        <v>44</v>
      </c>
    </row>
    <row r="1048550" spans="16384:16384" x14ac:dyDescent="0.2">
      <c r="XFD1048550" cm="1">
        <f t="array" ref="XFD1048550">solver_pre</f>
        <v>9.9999999999999995E-7</v>
      </c>
    </row>
    <row r="1048551" spans="16384:16384" x14ac:dyDescent="0.2">
      <c r="XFD1048551" cm="1">
        <f t="array" ref="XFD1048551">solver_scl</f>
        <v>1</v>
      </c>
    </row>
    <row r="1048552" spans="16384:16384" x14ac:dyDescent="0.2">
      <c r="XFD1048552" cm="1">
        <f t="array" ref="XFD1048552">solver_rlx</f>
        <v>2</v>
      </c>
    </row>
    <row r="1048553" spans="16384:16384" x14ac:dyDescent="0.2">
      <c r="XFD1048553" cm="1">
        <f t="array" ref="XFD1048553">solver_tol</f>
        <v>0.01</v>
      </c>
    </row>
    <row r="1048554" spans="16384:16384" x14ac:dyDescent="0.2">
      <c r="XFD1048554" cm="1">
        <f t="array" ref="XFD1048554">solver_cvg</f>
        <v>1E-4</v>
      </c>
    </row>
    <row r="1048555" spans="16384:16384" x14ac:dyDescent="0.2">
      <c r="XFD1048555" cm="1">
        <f t="array" ref="XFD1048555">solver_msl</f>
        <v>2</v>
      </c>
    </row>
    <row r="1048556" spans="16384:16384" x14ac:dyDescent="0.2">
      <c r="XFD1048556" cm="1">
        <f t="array" ref="XFD1048556">solver_ssz</f>
        <v>100</v>
      </c>
    </row>
    <row r="1048557" spans="16384:16384" x14ac:dyDescent="0.2">
      <c r="XFD1048557" cm="1">
        <f t="array" ref="XFD1048557">solver_rsd</f>
        <v>0</v>
      </c>
    </row>
    <row r="1048558" spans="16384:16384" x14ac:dyDescent="0.2">
      <c r="XFD1048558" cm="1">
        <f t="array" ref="XFD1048558">solver_mrt</f>
        <v>7.4999999999999997E-2</v>
      </c>
    </row>
    <row r="1048559" spans="16384:16384" x14ac:dyDescent="0.2">
      <c r="XFD1048559" cm="1">
        <f t="array" ref="XFD1048559">solver_mni</f>
        <v>30</v>
      </c>
    </row>
    <row r="1048560" spans="16384:16384" x14ac:dyDescent="0.2">
      <c r="XFD1048560" cm="1">
        <f t="array" ref="XFD1048560">solver_rbv</f>
        <v>1</v>
      </c>
    </row>
    <row r="1048561" spans="16384:16384" x14ac:dyDescent="0.2">
      <c r="XFD1048561" cm="1">
        <f t="array" ref="XFD1048561">solver_neg</f>
        <v>1</v>
      </c>
    </row>
    <row r="1048562" spans="16384:16384" x14ac:dyDescent="0.2">
      <c r="XFD1048562" t="e" cm="1">
        <f t="array" ref="XFD1048562">solver_ntr</f>
        <v>#NAME?</v>
      </c>
    </row>
    <row r="1048563" spans="16384:16384" x14ac:dyDescent="0.2">
      <c r="XFD1048563" t="e" cm="1">
        <f t="array" ref="XFD1048563">solver_acc</f>
        <v>#NAME?</v>
      </c>
    </row>
    <row r="1048564" spans="16384:16384" x14ac:dyDescent="0.2">
      <c r="XFD1048564" t="e" cm="1">
        <f t="array" ref="XFD1048564">solver_res</f>
        <v>#NAME?</v>
      </c>
    </row>
    <row r="1048565" spans="16384:16384" x14ac:dyDescent="0.2">
      <c r="XFD1048565" t="e" cm="1">
        <f t="array" ref="XFD1048565">solver_ars</f>
        <v>#NAME?</v>
      </c>
    </row>
    <row r="1048566" spans="16384:16384" x14ac:dyDescent="0.2">
      <c r="XFD1048566" t="e" cm="1">
        <f t="array" ref="XFD1048566">solver_sta</f>
        <v>#NAME?</v>
      </c>
    </row>
    <row r="1048567" spans="16384:16384" x14ac:dyDescent="0.2">
      <c r="XFD1048567" t="e" cm="1">
        <f t="array" ref="XFD1048567">solver_met</f>
        <v>#NAME?</v>
      </c>
    </row>
    <row r="1048568" spans="16384:16384" x14ac:dyDescent="0.2">
      <c r="XFD1048568" t="e" cm="1">
        <f t="array" ref="XFD1048568">solver_soc</f>
        <v>#NAME?</v>
      </c>
    </row>
    <row r="1048569" spans="16384:16384" x14ac:dyDescent="0.2">
      <c r="XFD1048569" t="e" cm="1">
        <f t="array" ref="XFD1048569">solver_lpt</f>
        <v>#NAME?</v>
      </c>
    </row>
    <row r="1048570" spans="16384:16384" x14ac:dyDescent="0.2">
      <c r="XFD1048570" t="e" cm="1">
        <f t="array" ref="XFD1048570">solver_lpp</f>
        <v>#NAME?</v>
      </c>
    </row>
    <row r="1048571" spans="16384:16384" x14ac:dyDescent="0.2">
      <c r="XFD1048571" t="e" cm="1">
        <f t="array" ref="XFD1048571">solver_gap</f>
        <v>#NAME?</v>
      </c>
    </row>
    <row r="1048572" spans="16384:16384" x14ac:dyDescent="0.2">
      <c r="XFD1048572" t="e" cm="1">
        <f t="array" ref="XFD1048572">solver_ips</f>
        <v>#NAME?</v>
      </c>
    </row>
    <row r="1048573" spans="16384:16384" x14ac:dyDescent="0.2">
      <c r="XFD1048573" t="e" cm="1">
        <f t="array" ref="XFD1048573">solver_fea</f>
        <v>#NAME?</v>
      </c>
    </row>
    <row r="1048574" spans="16384:16384" x14ac:dyDescent="0.2">
      <c r="XFD1048574" t="e" cm="1">
        <f t="array" ref="XFD1048574">solver_ipi</f>
        <v>#NAME?</v>
      </c>
    </row>
    <row r="1048575" spans="16384:16384" x14ac:dyDescent="0.2">
      <c r="XFD1048575" t="e" cm="1">
        <f t="array" ref="XFD1048575">solver_ipd</f>
        <v>#NAME?</v>
      </c>
    </row>
  </sheetData>
  <mergeCells count="2">
    <mergeCell ref="B2:E2"/>
    <mergeCell ref="G2:H2"/>
  </mergeCells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5B8F1-5BA5-9A43-82A7-5CCCF2CC4AF8}">
  <sheetPr codeName="Sheet3"/>
  <dimension ref="B4:P50"/>
  <sheetViews>
    <sheetView showGridLines="0" tabSelected="1" topLeftCell="C4" zoomScale="135" zoomScaleNormal="152" workbookViewId="0">
      <selection activeCell="E9" sqref="E9"/>
    </sheetView>
  </sheetViews>
  <sheetFormatPr baseColWidth="10" defaultColWidth="9.1640625" defaultRowHeight="14" x14ac:dyDescent="0.15"/>
  <cols>
    <col min="1" max="2" width="9.1640625" style="16"/>
    <col min="3" max="3" width="35" style="16" bestFit="1" customWidth="1"/>
    <col min="4" max="4" width="29.5" style="16" bestFit="1" customWidth="1"/>
    <col min="5" max="5" width="17.6640625" style="16" customWidth="1"/>
    <col min="6" max="6" width="24.5" style="16" customWidth="1"/>
    <col min="7" max="7" width="23" style="16" bestFit="1" customWidth="1"/>
    <col min="8" max="8" width="20" style="16" customWidth="1"/>
    <col min="9" max="9" width="14" style="16" bestFit="1" customWidth="1"/>
    <col min="10" max="10" width="27.1640625" style="16" bestFit="1" customWidth="1"/>
    <col min="11" max="12" width="27.1640625" style="16" customWidth="1"/>
    <col min="13" max="13" width="14.1640625" style="16" bestFit="1" customWidth="1"/>
    <col min="14" max="14" width="22.1640625" style="16" bestFit="1" customWidth="1"/>
    <col min="15" max="23" width="14.1640625" style="16" bestFit="1" customWidth="1"/>
    <col min="24" max="24" width="16.6640625" style="16" bestFit="1" customWidth="1"/>
    <col min="25" max="16384" width="9.1640625" style="16"/>
  </cols>
  <sheetData>
    <row r="4" spans="2:16" ht="15" thickBot="1" x14ac:dyDescent="0.2"/>
    <row r="5" spans="2:16" ht="15" thickTop="1" x14ac:dyDescent="0.15">
      <c r="B5" s="17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9"/>
    </row>
    <row r="6" spans="2:16" x14ac:dyDescent="0.15">
      <c r="B6" s="20"/>
      <c r="C6" s="21" t="s">
        <v>45</v>
      </c>
      <c r="D6" s="22" t="s">
        <v>78</v>
      </c>
      <c r="H6" s="23"/>
      <c r="P6" s="24"/>
    </row>
    <row r="7" spans="2:16" x14ac:dyDescent="0.15">
      <c r="B7" s="20"/>
      <c r="C7" s="21" t="s">
        <v>46</v>
      </c>
      <c r="D7" s="25">
        <v>46022</v>
      </c>
      <c r="H7" s="23"/>
      <c r="P7" s="24"/>
    </row>
    <row r="8" spans="2:16" x14ac:dyDescent="0.15">
      <c r="B8" s="20"/>
      <c r="C8" s="21" t="s">
        <v>47</v>
      </c>
      <c r="D8" s="26">
        <v>497376</v>
      </c>
      <c r="H8" s="35"/>
      <c r="I8" s="35"/>
      <c r="J8" s="35"/>
      <c r="K8" s="35"/>
      <c r="P8" s="24"/>
    </row>
    <row r="9" spans="2:16" x14ac:dyDescent="0.15">
      <c r="B9" s="20"/>
      <c r="C9" s="21" t="s">
        <v>48</v>
      </c>
      <c r="D9" s="22" t="s">
        <v>79</v>
      </c>
      <c r="H9" s="35"/>
      <c r="I9" s="35"/>
      <c r="J9" s="35"/>
      <c r="K9" s="35"/>
      <c r="P9" s="24"/>
    </row>
    <row r="10" spans="2:16" x14ac:dyDescent="0.15">
      <c r="B10" s="20"/>
      <c r="C10" s="21" t="s">
        <v>49</v>
      </c>
      <c r="D10" s="27">
        <v>0</v>
      </c>
      <c r="G10" s="28"/>
      <c r="H10" s="35"/>
      <c r="I10" s="35"/>
      <c r="J10" s="35"/>
      <c r="K10" s="35"/>
      <c r="L10" s="23"/>
      <c r="P10" s="24"/>
    </row>
    <row r="11" spans="2:16" x14ac:dyDescent="0.15">
      <c r="B11" s="20"/>
      <c r="C11" s="21" t="s">
        <v>50</v>
      </c>
      <c r="D11" s="29" t="s">
        <v>80</v>
      </c>
      <c r="G11" s="28"/>
      <c r="H11" s="35"/>
      <c r="I11" s="35"/>
      <c r="J11" s="35"/>
      <c r="K11" s="35"/>
      <c r="L11" s="31"/>
      <c r="P11" s="24"/>
    </row>
    <row r="12" spans="2:16" x14ac:dyDescent="0.15">
      <c r="B12" s="20"/>
      <c r="C12" s="21" t="s">
        <v>51</v>
      </c>
      <c r="D12" s="32">
        <v>0</v>
      </c>
      <c r="F12" s="33"/>
      <c r="G12" s="34"/>
      <c r="H12" s="35"/>
      <c r="I12" s="35"/>
      <c r="J12" s="35"/>
      <c r="K12" s="35"/>
      <c r="L12" s="31"/>
      <c r="P12" s="24"/>
    </row>
    <row r="13" spans="2:16" x14ac:dyDescent="0.15">
      <c r="B13" s="20"/>
      <c r="C13" s="21" t="s">
        <v>52</v>
      </c>
      <c r="D13" s="25">
        <v>47018</v>
      </c>
      <c r="F13" s="35"/>
      <c r="G13" s="36"/>
      <c r="H13" s="31"/>
      <c r="I13" s="35"/>
      <c r="J13" s="31"/>
      <c r="K13" s="31"/>
      <c r="L13" s="31"/>
      <c r="P13" s="24"/>
    </row>
    <row r="14" spans="2:16" x14ac:dyDescent="0.15">
      <c r="B14" s="20"/>
      <c r="C14" s="21" t="s">
        <v>53</v>
      </c>
      <c r="D14" s="25">
        <v>44012</v>
      </c>
      <c r="E14" s="30"/>
      <c r="F14" s="31"/>
      <c r="G14" s="31"/>
      <c r="H14" s="31"/>
      <c r="I14" s="31"/>
      <c r="J14" s="31"/>
      <c r="K14" s="31"/>
      <c r="L14" s="31"/>
      <c r="P14" s="24"/>
    </row>
    <row r="15" spans="2:16" x14ac:dyDescent="0.15">
      <c r="B15" s="20"/>
      <c r="C15" s="21" t="s">
        <v>54</v>
      </c>
      <c r="D15" s="25">
        <f>I29</f>
        <v>47018</v>
      </c>
      <c r="E15" s="30" t="s">
        <v>55</v>
      </c>
      <c r="F15" s="37"/>
      <c r="G15" s="37"/>
      <c r="H15" s="37"/>
      <c r="I15" s="37"/>
      <c r="J15" s="35"/>
      <c r="K15" s="35"/>
      <c r="L15" s="35"/>
      <c r="P15" s="24"/>
    </row>
    <row r="16" spans="2:16" x14ac:dyDescent="0.15">
      <c r="B16" s="20"/>
      <c r="C16" s="21" t="s">
        <v>46</v>
      </c>
      <c r="D16" s="25">
        <f>D7</f>
        <v>46022</v>
      </c>
      <c r="H16" s="31"/>
      <c r="I16" s="35"/>
      <c r="J16" s="31"/>
      <c r="K16" s="31"/>
      <c r="L16" s="31"/>
      <c r="P16" s="24"/>
    </row>
    <row r="17" spans="2:16" ht="14.75" customHeight="1" x14ac:dyDescent="0.15">
      <c r="B17" s="20"/>
      <c r="C17" s="21" t="s">
        <v>81</v>
      </c>
      <c r="D17" s="27">
        <v>0</v>
      </c>
      <c r="E17" s="37"/>
      <c r="F17" s="37"/>
      <c r="G17" s="37"/>
      <c r="H17" s="37"/>
      <c r="I17" s="37"/>
      <c r="J17" s="38"/>
      <c r="K17" s="38"/>
      <c r="L17" s="38"/>
      <c r="P17" s="24"/>
    </row>
    <row r="18" spans="2:16" ht="14.75" customHeight="1" x14ac:dyDescent="0.2">
      <c r="B18" s="20"/>
      <c r="C18" s="21" t="s">
        <v>56</v>
      </c>
      <c r="D18" s="27">
        <v>7.6499999999999999E-2</v>
      </c>
      <c r="E18" s="39" t="s">
        <v>57</v>
      </c>
      <c r="F18" s="37"/>
      <c r="G18" s="37"/>
      <c r="H18" s="37"/>
      <c r="I18" s="37"/>
      <c r="J18" s="38"/>
      <c r="K18" s="38"/>
      <c r="L18" s="38"/>
      <c r="P18" s="24"/>
    </row>
    <row r="19" spans="2:16" ht="14.75" customHeight="1" x14ac:dyDescent="0.15">
      <c r="B19" s="20"/>
      <c r="C19" s="21" t="s">
        <v>58</v>
      </c>
      <c r="D19" s="26">
        <v>0</v>
      </c>
      <c r="E19" s="37"/>
      <c r="F19" s="37"/>
      <c r="G19" s="37"/>
      <c r="H19" s="37"/>
      <c r="I19" s="37"/>
      <c r="J19" s="38"/>
      <c r="K19" s="38"/>
      <c r="L19" s="38"/>
      <c r="P19" s="24"/>
    </row>
    <row r="20" spans="2:16" ht="14.75" customHeight="1" x14ac:dyDescent="0.15">
      <c r="B20" s="20"/>
      <c r="C20" s="61"/>
      <c r="D20" s="62"/>
      <c r="E20" s="37"/>
      <c r="F20" s="37"/>
      <c r="G20" s="37"/>
      <c r="H20" s="37"/>
      <c r="I20" s="37"/>
      <c r="J20" s="38"/>
      <c r="K20" s="38"/>
      <c r="L20" s="38"/>
      <c r="P20" s="24"/>
    </row>
    <row r="21" spans="2:16" ht="14.75" customHeight="1" x14ac:dyDescent="0.15">
      <c r="B21" s="20"/>
      <c r="C21" s="61"/>
      <c r="D21" s="62"/>
      <c r="E21" s="37"/>
      <c r="F21" s="37"/>
      <c r="G21" s="37"/>
      <c r="H21" s="37"/>
      <c r="I21" s="37"/>
      <c r="J21" s="38"/>
      <c r="K21" s="38"/>
      <c r="L21" s="38"/>
      <c r="P21" s="24"/>
    </row>
    <row r="22" spans="2:16" ht="14.75" customHeight="1" x14ac:dyDescent="0.15">
      <c r="B22" s="20"/>
      <c r="C22" s="40" t="s">
        <v>60</v>
      </c>
      <c r="D22" s="40" t="s">
        <v>61</v>
      </c>
      <c r="E22" s="40" t="s">
        <v>62</v>
      </c>
      <c r="F22" s="40" t="s">
        <v>63</v>
      </c>
      <c r="G22" s="40" t="s">
        <v>64</v>
      </c>
      <c r="H22" s="40" t="s">
        <v>65</v>
      </c>
      <c r="I22" s="41" t="s">
        <v>66</v>
      </c>
      <c r="J22" s="40" t="s">
        <v>67</v>
      </c>
      <c r="K22" s="40" t="s">
        <v>68</v>
      </c>
      <c r="L22" s="40" t="s">
        <v>69</v>
      </c>
      <c r="M22" s="40" t="s">
        <v>47</v>
      </c>
      <c r="N22" s="42" t="s">
        <v>70</v>
      </c>
      <c r="P22" s="24"/>
    </row>
    <row r="23" spans="2:16" ht="14.75" customHeight="1" x14ac:dyDescent="0.15">
      <c r="B23" s="20"/>
      <c r="C23" s="43">
        <f>(I23-$D$16)/365</f>
        <v>0</v>
      </c>
      <c r="D23" s="44"/>
      <c r="E23" s="44"/>
      <c r="F23" s="45"/>
      <c r="G23" s="43"/>
      <c r="H23" s="45"/>
      <c r="I23" s="46">
        <f>D16</f>
        <v>46022</v>
      </c>
      <c r="J23" s="44"/>
      <c r="K23" s="43"/>
      <c r="L23" s="43">
        <v>0</v>
      </c>
      <c r="M23" s="43"/>
      <c r="N23" s="43">
        <f>D8</f>
        <v>497376</v>
      </c>
      <c r="P23" s="24"/>
    </row>
    <row r="24" spans="2:16" ht="14.75" customHeight="1" x14ac:dyDescent="0.15">
      <c r="B24" s="20"/>
      <c r="C24" s="43">
        <f>(I24-$D$16)/365</f>
        <v>2.7287671232876711</v>
      </c>
      <c r="D24" s="47" cm="1">
        <f t="array" ref="D24">nelson(C29,'Market Inputs '!H7,'Market Inputs '!H8,'Market Inputs '!H9,'Market Inputs '!H10,'Market Inputs '!H11,'Market Inputs '!H12)/100</f>
        <v>3.3207312600783086E-2</v>
      </c>
      <c r="E24" s="47">
        <f>D24</f>
        <v>3.3207312600783086E-2</v>
      </c>
      <c r="F24" s="45">
        <f>SUM(J24,K24,M24)</f>
        <v>497376</v>
      </c>
      <c r="G24" s="47">
        <f>1/(1+E24)^(C24)</f>
        <v>0.91471477655381273</v>
      </c>
      <c r="H24" s="45">
        <f>F24*G24</f>
        <v>454957.17670322914</v>
      </c>
      <c r="I24" s="46">
        <f>D15</f>
        <v>47018</v>
      </c>
      <c r="J24" s="43">
        <f>(I24-I23)/365*$D$10*(N23+L23)</f>
        <v>0</v>
      </c>
      <c r="K24" s="43">
        <v>0</v>
      </c>
      <c r="L24" s="43">
        <v>0</v>
      </c>
      <c r="M24" s="43">
        <f>D8</f>
        <v>497376</v>
      </c>
      <c r="N24" s="43">
        <f>N23-M24</f>
        <v>0</v>
      </c>
      <c r="P24" s="24"/>
    </row>
    <row r="25" spans="2:16" ht="14.75" customHeight="1" x14ac:dyDescent="0.15">
      <c r="B25" s="20"/>
      <c r="C25" s="61"/>
      <c r="D25" s="62"/>
      <c r="E25" s="37"/>
      <c r="F25" s="37"/>
      <c r="G25" s="37"/>
      <c r="H25" s="37"/>
      <c r="I25" s="37"/>
      <c r="J25" s="38"/>
      <c r="K25" s="38"/>
      <c r="L25" s="38"/>
      <c r="P25" s="24"/>
    </row>
    <row r="26" spans="2:16" x14ac:dyDescent="0.15">
      <c r="B26" s="20"/>
      <c r="G26" s="23" t="s">
        <v>59</v>
      </c>
      <c r="P26" s="24"/>
    </row>
    <row r="27" spans="2:16" x14ac:dyDescent="0.15">
      <c r="B27" s="20"/>
      <c r="C27" s="40" t="s">
        <v>60</v>
      </c>
      <c r="D27" s="40" t="s">
        <v>61</v>
      </c>
      <c r="E27" s="40" t="s">
        <v>62</v>
      </c>
      <c r="F27" s="40" t="s">
        <v>63</v>
      </c>
      <c r="G27" s="40" t="s">
        <v>64</v>
      </c>
      <c r="H27" s="40" t="s">
        <v>65</v>
      </c>
      <c r="I27" s="41" t="s">
        <v>66</v>
      </c>
      <c r="J27" s="40" t="s">
        <v>67</v>
      </c>
      <c r="K27" s="40" t="s">
        <v>68</v>
      </c>
      <c r="L27" s="40" t="s">
        <v>69</v>
      </c>
      <c r="M27" s="40" t="s">
        <v>47</v>
      </c>
      <c r="N27" s="42" t="s">
        <v>70</v>
      </c>
      <c r="P27" s="24"/>
    </row>
    <row r="28" spans="2:16" x14ac:dyDescent="0.15">
      <c r="B28" s="20"/>
      <c r="C28" s="43">
        <f>(I28-$D$16)/365</f>
        <v>0</v>
      </c>
      <c r="D28" s="44"/>
      <c r="E28" s="44"/>
      <c r="F28" s="45"/>
      <c r="G28" s="43"/>
      <c r="H28" s="45"/>
      <c r="I28" s="46">
        <f>D16</f>
        <v>46022</v>
      </c>
      <c r="J28" s="44"/>
      <c r="K28" s="43"/>
      <c r="L28" s="43">
        <f>D12</f>
        <v>0</v>
      </c>
      <c r="M28" s="43"/>
      <c r="N28" s="43">
        <f>D8</f>
        <v>497376</v>
      </c>
      <c r="P28" s="24"/>
    </row>
    <row r="29" spans="2:16" x14ac:dyDescent="0.15">
      <c r="B29" s="20"/>
      <c r="C29" s="43">
        <f>(I29-$D$16)/365</f>
        <v>2.7287671232876711</v>
      </c>
      <c r="D29" s="47" cm="1">
        <f t="array" ref="D29">nelson(C29,'Market Inputs '!H7,'Market Inputs '!H8,'Market Inputs '!H9,'Market Inputs '!H10,'Market Inputs '!H11,'Market Inputs '!H12)/100</f>
        <v>3.3207312600783086E-2</v>
      </c>
      <c r="E29" s="47">
        <f>$D$18+$D$17+D29</f>
        <v>0.10970731260078309</v>
      </c>
      <c r="F29" s="45">
        <f>SUM(J29,K29,M29)</f>
        <v>497376</v>
      </c>
      <c r="G29" s="47">
        <f>1/(1+E29)^(C29)</f>
        <v>0.75272557772550008</v>
      </c>
      <c r="H29" s="45">
        <f>F29*G29</f>
        <v>374387.6369467983</v>
      </c>
      <c r="I29" s="46">
        <f>WORKDAY(C46-1, 1, '[1]Market Inputs '!$B$23:$B$36)</f>
        <v>47018</v>
      </c>
      <c r="J29" s="43">
        <f>(I29-I28)/365*$D$10*(N28+L28)</f>
        <v>0</v>
      </c>
      <c r="K29" s="43">
        <f>D12</f>
        <v>0</v>
      </c>
      <c r="L29" s="43">
        <f>L28-K29</f>
        <v>0</v>
      </c>
      <c r="M29" s="43">
        <f>N28</f>
        <v>497376</v>
      </c>
      <c r="N29" s="43">
        <f>N28-M29</f>
        <v>0</v>
      </c>
      <c r="P29" s="24"/>
    </row>
    <row r="30" spans="2:16" x14ac:dyDescent="0.15">
      <c r="B30" s="20"/>
      <c r="C30" s="35"/>
      <c r="D30" s="48"/>
      <c r="E30" s="35"/>
      <c r="F30" s="49"/>
      <c r="G30" s="37"/>
      <c r="H30" s="35"/>
      <c r="I30" s="35"/>
      <c r="J30" s="35"/>
      <c r="K30" s="35"/>
      <c r="L30" s="35"/>
      <c r="P30" s="24"/>
    </row>
    <row r="31" spans="2:16" x14ac:dyDescent="0.15">
      <c r="B31" s="20"/>
      <c r="C31" s="35"/>
      <c r="D31" s="49"/>
      <c r="E31" s="35"/>
      <c r="F31" s="49"/>
      <c r="G31" s="37"/>
      <c r="H31" s="35"/>
      <c r="I31" s="35"/>
      <c r="J31" s="35"/>
      <c r="K31" s="35"/>
      <c r="L31" s="35"/>
      <c r="P31" s="24"/>
    </row>
    <row r="32" spans="2:16" x14ac:dyDescent="0.15">
      <c r="B32" s="20"/>
      <c r="C32" s="44" t="s">
        <v>82</v>
      </c>
      <c r="D32" s="50">
        <f>H24</f>
        <v>454957.17670322914</v>
      </c>
      <c r="E32" s="35"/>
      <c r="F32" s="49"/>
      <c r="G32" s="63">
        <f>1-G24</f>
        <v>8.5285223446187275E-2</v>
      </c>
      <c r="H32" s="35"/>
      <c r="I32" s="35"/>
      <c r="J32" s="35"/>
      <c r="K32" s="35"/>
      <c r="L32" s="35"/>
      <c r="P32" s="24"/>
    </row>
    <row r="33" spans="2:16" x14ac:dyDescent="0.15">
      <c r="B33" s="20"/>
      <c r="C33" s="44" t="s">
        <v>71</v>
      </c>
      <c r="D33" s="50">
        <f>SUM(H29:H29)</f>
        <v>374387.6369467983</v>
      </c>
      <c r="E33" s="37"/>
      <c r="F33" s="35"/>
      <c r="G33" s="64">
        <f>1-G29</f>
        <v>0.24727442227449992</v>
      </c>
      <c r="H33" s="35"/>
      <c r="I33" s="35"/>
      <c r="P33" s="24"/>
    </row>
    <row r="34" spans="2:16" x14ac:dyDescent="0.15">
      <c r="B34" s="20"/>
      <c r="C34" s="44" t="s">
        <v>72</v>
      </c>
      <c r="D34" s="50">
        <f>D8+D12</f>
        <v>497376</v>
      </c>
      <c r="E34" s="37"/>
      <c r="F34" s="35"/>
      <c r="G34" s="35"/>
      <c r="H34" s="35"/>
      <c r="I34" s="35"/>
      <c r="P34" s="24"/>
    </row>
    <row r="35" spans="2:16" x14ac:dyDescent="0.15">
      <c r="B35" s="20"/>
      <c r="C35" s="44" t="s">
        <v>73</v>
      </c>
      <c r="D35" s="50">
        <f>D33-D34</f>
        <v>-122988.3630532017</v>
      </c>
      <c r="E35" s="37"/>
      <c r="P35" s="24"/>
    </row>
    <row r="36" spans="2:16" x14ac:dyDescent="0.15">
      <c r="B36" s="20"/>
      <c r="F36" s="51"/>
      <c r="G36" s="37"/>
      <c r="P36" s="24"/>
    </row>
    <row r="37" spans="2:16" x14ac:dyDescent="0.15">
      <c r="B37" s="20"/>
      <c r="F37" s="52"/>
      <c r="J37" s="53"/>
      <c r="K37" s="53"/>
      <c r="L37" s="53"/>
      <c r="P37" s="24"/>
    </row>
    <row r="38" spans="2:16" x14ac:dyDescent="0.15">
      <c r="B38" s="20"/>
      <c r="C38" s="44"/>
      <c r="D38" s="54" t="s">
        <v>74</v>
      </c>
      <c r="G38" s="28"/>
      <c r="P38" s="24"/>
    </row>
    <row r="39" spans="2:16" x14ac:dyDescent="0.15">
      <c r="B39" s="20"/>
      <c r="C39" s="44" t="s">
        <v>75</v>
      </c>
      <c r="D39" s="50">
        <f>D33</f>
        <v>374387.6369467983</v>
      </c>
      <c r="G39" s="55"/>
      <c r="P39" s="24"/>
    </row>
    <row r="40" spans="2:16" x14ac:dyDescent="0.15">
      <c r="B40" s="20"/>
      <c r="C40" s="44" t="s">
        <v>76</v>
      </c>
      <c r="D40" s="50">
        <f>D34</f>
        <v>497376</v>
      </c>
      <c r="P40" s="24"/>
    </row>
    <row r="41" spans="2:16" x14ac:dyDescent="0.15">
      <c r="B41" s="20"/>
      <c r="C41" s="44"/>
      <c r="D41" s="44"/>
      <c r="P41" s="24"/>
    </row>
    <row r="42" spans="2:16" x14ac:dyDescent="0.15">
      <c r="B42" s="20"/>
      <c r="P42" s="24"/>
    </row>
    <row r="43" spans="2:16" x14ac:dyDescent="0.15">
      <c r="B43" s="20"/>
      <c r="P43" s="24"/>
    </row>
    <row r="44" spans="2:16" x14ac:dyDescent="0.15">
      <c r="B44" s="20"/>
      <c r="P44" s="24"/>
    </row>
    <row r="45" spans="2:16" x14ac:dyDescent="0.15">
      <c r="B45" s="20"/>
      <c r="C45" s="21" t="s">
        <v>77</v>
      </c>
      <c r="P45" s="24"/>
    </row>
    <row r="46" spans="2:16" x14ac:dyDescent="0.15">
      <c r="B46" s="20"/>
      <c r="C46" s="56">
        <f>D13</f>
        <v>47018</v>
      </c>
      <c r="P46" s="24"/>
    </row>
    <row r="47" spans="2:16" x14ac:dyDescent="0.15">
      <c r="B47" s="20"/>
      <c r="C47" s="37"/>
      <c r="P47" s="24"/>
    </row>
    <row r="48" spans="2:16" x14ac:dyDescent="0.15">
      <c r="B48" s="20"/>
      <c r="C48" s="57"/>
      <c r="P48" s="24"/>
    </row>
    <row r="49" spans="2:16" ht="15" thickBot="1" x14ac:dyDescent="0.2">
      <c r="B49" s="58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60"/>
      <c r="O49" s="59"/>
      <c r="P49" s="60"/>
    </row>
    <row r="50" spans="2:16" ht="15" thickTop="1" x14ac:dyDescent="0.15"/>
  </sheetData>
  <hyperlinks>
    <hyperlink ref="E18" r:id="rId1" xr:uid="{54E2D513-ED28-F34A-9444-E0732F279389}"/>
  </hyperlink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E996DB1EE7F747B797058B7D6CF4ED" ma:contentTypeVersion="11" ma:contentTypeDescription="Create a new document." ma:contentTypeScope="" ma:versionID="1d7956c12aacbbba6e428154ba088534">
  <xsd:schema xmlns:xsd="http://www.w3.org/2001/XMLSchema" xmlns:xs="http://www.w3.org/2001/XMLSchema" xmlns:p="http://schemas.microsoft.com/office/2006/metadata/properties" xmlns:ns2="1e987c18-c08e-407b-9c31-150449cbaec0" xmlns:ns3="a0220c90-0dbb-46a8-a885-55c1dd23be02" targetNamespace="http://schemas.microsoft.com/office/2006/metadata/properties" ma:root="true" ma:fieldsID="8d4c286e67b32bce2753fca03eb75998" ns2:_="" ns3:_="">
    <xsd:import namespace="1e987c18-c08e-407b-9c31-150449cbaec0"/>
    <xsd:import namespace="a0220c90-0dbb-46a8-a885-55c1dd23be0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987c18-c08e-407b-9c31-150449cbaec0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4a02099e-a6d5-4010-82a7-0fa6f3f8498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220c90-0dbb-46a8-a885-55c1dd23be0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58c1e798-32ea-416f-9aab-ba61b62871c8}" ma:internalName="TaxCatchAll" ma:showField="CatchAllData" ma:web="a0220c90-0dbb-46a8-a885-55c1dd23be0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e987c18-c08e-407b-9c31-150449cbaec0">
      <Terms xmlns="http://schemas.microsoft.com/office/infopath/2007/PartnerControls"/>
    </lcf76f155ced4ddcb4097134ff3c332f>
    <TaxCatchAll xmlns="a0220c90-0dbb-46a8-a885-55c1dd23be02" xsi:nil="true"/>
  </documentManagement>
</p:properties>
</file>

<file path=customXml/itemProps1.xml><?xml version="1.0" encoding="utf-8"?>
<ds:datastoreItem xmlns:ds="http://schemas.openxmlformats.org/officeDocument/2006/customXml" ds:itemID="{7C77BB70-C670-49CF-A5B2-1A3C689C1F96}"/>
</file>

<file path=customXml/itemProps2.xml><?xml version="1.0" encoding="utf-8"?>
<ds:datastoreItem xmlns:ds="http://schemas.openxmlformats.org/officeDocument/2006/customXml" ds:itemID="{6CA0D217-1E20-4600-BA56-DE3BF67D7DA7}"/>
</file>

<file path=customXml/itemProps3.xml><?xml version="1.0" encoding="utf-8"?>
<ds:datastoreItem xmlns:ds="http://schemas.openxmlformats.org/officeDocument/2006/customXml" ds:itemID="{D43CF234-E6D3-411E-92FB-1DCD052275C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Market Inputs </vt:lpstr>
      <vt:lpstr>Legacy Debt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Tinotenda Muchabaiwa</dc:creator>
  <cp:lastModifiedBy>Tinotenda Muchabaiwa</cp:lastModifiedBy>
  <dcterms:created xsi:type="dcterms:W3CDTF">2026-02-19T12:05:58Z</dcterms:created>
  <dcterms:modified xsi:type="dcterms:W3CDTF">2026-02-24T07:37:36Z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0x0101007CE996DB1EE7F747B797058B7D6CF4ED</vt:lpwstr>
  </property>
</Properties>
</file>